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loria_10_osu_edu/Documents/MICROSOFT DATA COLLECTION/"/>
    </mc:Choice>
  </mc:AlternateContent>
  <xr:revisionPtr revIDLastSave="3" documentId="8_{F3B9709F-84A8-4C8E-B7BE-B272678EE291}" xr6:coauthVersionLast="47" xr6:coauthVersionMax="47" xr10:uidLastSave="{20CDE1DA-3DFC-42D5-A983-47861C4BB62F}"/>
  <bookViews>
    <workbookView xWindow="-120" yWindow="-120" windowWidth="29040" windowHeight="15720" firstSheet="1" activeTab="1" xr2:uid="{F804C2A5-6B0C-4D23-8453-EFCA1CA0E7BE}"/>
  </bookViews>
  <sheets>
    <sheet name="Description" sheetId="7" r:id="rId1"/>
    <sheet name="1-205" sheetId="3" r:id="rId2"/>
    <sheet name="206-360" sheetId="4" r:id="rId3"/>
    <sheet name="361-731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3" l="1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3" i="3"/>
  <c r="F31" i="3"/>
  <c r="F23" i="3"/>
  <c r="F30" i="3"/>
  <c r="F32" i="3"/>
  <c r="F33" i="3"/>
  <c r="F34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25" i="3"/>
  <c r="F26" i="3"/>
  <c r="F27" i="3"/>
  <c r="F28" i="3"/>
</calcChain>
</file>

<file path=xl/sharedStrings.xml><?xml version="1.0" encoding="utf-8"?>
<sst xmlns="http://schemas.openxmlformats.org/spreadsheetml/2006/main" count="122" uniqueCount="32">
  <si>
    <t>Sample No. (used in following worksheets)</t>
  </si>
  <si>
    <t>Sample collecton date</t>
  </si>
  <si>
    <t>Sample No. assigned during collection</t>
  </si>
  <si>
    <t>soil series</t>
  </si>
  <si>
    <t>7/16/2024 (for field images) and 21 september 2023 (for lab images)</t>
  </si>
  <si>
    <t>1-Crosby mulch plots</t>
  </si>
  <si>
    <t>1K0</t>
  </si>
  <si>
    <t>2-kokomo-soybean plots</t>
  </si>
  <si>
    <t>2K0</t>
  </si>
  <si>
    <t>3K0</t>
  </si>
  <si>
    <t>4K0</t>
  </si>
  <si>
    <t>3-Miami-corn plot</t>
  </si>
  <si>
    <t>1Cr</t>
  </si>
  <si>
    <t>1-Crosby- corn plots</t>
  </si>
  <si>
    <t>2Cr</t>
  </si>
  <si>
    <t>3Cr</t>
  </si>
  <si>
    <t>1M</t>
  </si>
  <si>
    <t>1-crosby-mulch plots</t>
  </si>
  <si>
    <t>2M</t>
  </si>
  <si>
    <t>1K</t>
  </si>
  <si>
    <t>2K</t>
  </si>
  <si>
    <t>Date</t>
  </si>
  <si>
    <t>Sample No.</t>
  </si>
  <si>
    <t>Image No.</t>
  </si>
  <si>
    <t>Moisture Level (%)</t>
  </si>
  <si>
    <t>Soil type</t>
  </si>
  <si>
    <t>SOC(%)</t>
  </si>
  <si>
    <t>Field images date 16 July 2024</t>
  </si>
  <si>
    <t>Lab images date 24June 2024 (previously stored samples from mulch plots- collection date 21 sept 2023)</t>
  </si>
  <si>
    <t>Image name</t>
  </si>
  <si>
    <t>26 July Field</t>
  </si>
  <si>
    <t>IMG_6778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</si>
</sst>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rgb="FF9C0006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3" fillId="9" borderId="0" applyNumberFormat="0" applyBorder="0" applyAlignment="0" applyProtection="0"/>
    <xf numFmtId="0" fontId="4" fillId="10" borderId="0" applyNumberFormat="0" applyBorder="0" applyAlignment="0" applyProtection="0"/>
    <xf numFmtId="0" fontId="5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</cellStyleXfs>
  <cellXfs count="37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5" borderId="0" xfId="0" applyFill="1"/>
    <xf numFmtId="16" fontId="0" fillId="0" borderId="0" xfId="0" applyNumberFormat="1"/>
    <xf numFmtId="15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9" borderId="0" xfId="1" applyAlignment="1">
      <alignment horizontal="center"/>
    </xf>
    <xf numFmtId="15" fontId="3" fillId="9" borderId="0" xfId="1" applyNumberFormat="1" applyAlignment="1">
      <alignment horizontal="center"/>
    </xf>
    <xf numFmtId="0" fontId="3" fillId="9" borderId="0" xfId="1"/>
    <xf numFmtId="0" fontId="5" fillId="11" borderId="0" xfId="3" applyAlignment="1">
      <alignment horizontal="center"/>
    </xf>
    <xf numFmtId="14" fontId="5" fillId="11" borderId="0" xfId="3" applyNumberFormat="1" applyAlignment="1">
      <alignment horizontal="center"/>
    </xf>
    <xf numFmtId="0" fontId="5" fillId="11" borderId="0" xfId="3"/>
    <xf numFmtId="0" fontId="4" fillId="10" borderId="0" xfId="2" applyAlignment="1">
      <alignment horizontal="center"/>
    </xf>
    <xf numFmtId="14" fontId="4" fillId="10" borderId="0" xfId="2" applyNumberFormat="1" applyAlignment="1">
      <alignment horizontal="center"/>
    </xf>
    <xf numFmtId="0" fontId="4" fillId="10" borderId="0" xfId="2"/>
    <xf numFmtId="14" fontId="3" fillId="9" borderId="0" xfId="1" applyNumberFormat="1" applyAlignment="1">
      <alignment horizontal="center"/>
    </xf>
    <xf numFmtId="0" fontId="6" fillId="9" borderId="0" xfId="1" applyFont="1" applyAlignment="1">
      <alignment horizontal="center"/>
    </xf>
    <xf numFmtId="0" fontId="7" fillId="11" borderId="0" xfId="3" applyFont="1" applyAlignment="1">
      <alignment horizontal="center"/>
    </xf>
    <xf numFmtId="0" fontId="8" fillId="10" borderId="0" xfId="2" applyFont="1" applyAlignment="1">
      <alignment horizontal="center"/>
    </xf>
    <xf numFmtId="0" fontId="2" fillId="12" borderId="0" xfId="4"/>
    <xf numFmtId="0" fontId="2" fillId="13" borderId="0" xfId="5"/>
    <xf numFmtId="0" fontId="2" fillId="14" borderId="0" xfId="6"/>
    <xf numFmtId="0" fontId="2" fillId="15" borderId="0" xfId="7"/>
    <xf numFmtId="0" fontId="0" fillId="4" borderId="0" xfId="0" applyFill="1" applyAlignment="1">
      <alignment horizontal="center" textRotation="45"/>
    </xf>
    <xf numFmtId="0" fontId="0" fillId="5" borderId="0" xfId="0" applyFill="1" applyAlignment="1">
      <alignment horizontal="center" textRotation="45"/>
    </xf>
    <xf numFmtId="15" fontId="0" fillId="6" borderId="0" xfId="0" applyNumberFormat="1" applyFill="1" applyAlignment="1">
      <alignment horizontal="center" textRotation="45"/>
    </xf>
    <xf numFmtId="15" fontId="0" fillId="5" borderId="0" xfId="0" applyNumberFormat="1" applyFill="1" applyAlignment="1">
      <alignment horizontal="center" textRotation="45"/>
    </xf>
    <xf numFmtId="0" fontId="0" fillId="6" borderId="0" xfId="0" applyFill="1" applyAlignment="1">
      <alignment horizontal="center" textRotation="45"/>
    </xf>
    <xf numFmtId="15" fontId="0" fillId="4" borderId="0" xfId="0" applyNumberFormat="1" applyFill="1" applyAlignment="1">
      <alignment horizontal="center" textRotation="45"/>
    </xf>
    <xf numFmtId="15" fontId="0" fillId="7" borderId="0" xfId="0" applyNumberFormat="1" applyFill="1" applyAlignment="1">
      <alignment horizontal="center" textRotation="45"/>
    </xf>
    <xf numFmtId="0" fontId="0" fillId="7" borderId="0" xfId="0" applyFill="1" applyAlignment="1">
      <alignment horizontal="center" textRotation="45"/>
    </xf>
    <xf numFmtId="15" fontId="0" fillId="8" borderId="0" xfId="0" applyNumberFormat="1" applyFill="1" applyAlignment="1">
      <alignment horizontal="center" textRotation="45"/>
    </xf>
    <xf numFmtId="0" fontId="0" fillId="8" borderId="0" xfId="0" applyFill="1" applyAlignment="1">
      <alignment horizontal="center" textRotation="45"/>
    </xf>
  </cellXfs>
  <cellStyles count="8">
    <cellStyle name="20% - Accent1" xfId="4" builtinId="30"/>
    <cellStyle name="20% - Accent3" xfId="5" builtinId="38"/>
    <cellStyle name="20% - Accent4" xfId="6" builtinId="42"/>
    <cellStyle name="20% - Accent5" xfId="7" builtinId="46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B73E-05A8-45D1-BA04-B4B0831C2092}">
  <dimension ref="A1:D32"/>
  <sheetViews>
    <sheetView workbookViewId="0">
      <selection activeCell="B31" sqref="B31"/>
    </sheetView>
  </sheetViews>
  <sheetFormatPr defaultRowHeight="15"/>
  <cols>
    <col min="1" max="1" width="44.28515625" style="1" customWidth="1"/>
    <col min="2" max="2" width="61.42578125" customWidth="1"/>
    <col min="3" max="3" width="37.28515625" customWidth="1"/>
    <col min="4" max="4" width="30.85546875" customWidth="1"/>
  </cols>
  <sheetData>
    <row r="1" spans="1:4">
      <c r="A1" s="9"/>
      <c r="B1" s="8"/>
      <c r="C1" s="8"/>
    </row>
    <row r="2" spans="1:4" s="1" customFormat="1">
      <c r="A2" s="9" t="s">
        <v>0</v>
      </c>
      <c r="B2" s="9" t="s">
        <v>1</v>
      </c>
      <c r="C2" s="9" t="s">
        <v>2</v>
      </c>
      <c r="D2" s="1" t="s">
        <v>3</v>
      </c>
    </row>
    <row r="3" spans="1:4" s="12" customFormat="1" ht="16.149999999999999" customHeight="1">
      <c r="A3" s="20">
        <v>1</v>
      </c>
      <c r="B3" s="11" t="s">
        <v>4</v>
      </c>
      <c r="C3" s="10">
        <v>1</v>
      </c>
      <c r="D3" s="12" t="s">
        <v>5</v>
      </c>
    </row>
    <row r="4" spans="1:4" s="12" customFormat="1">
      <c r="A4" s="20">
        <v>2</v>
      </c>
      <c r="B4" s="11" t="s">
        <v>4</v>
      </c>
      <c r="C4" s="10">
        <v>2</v>
      </c>
      <c r="D4" s="12" t="s">
        <v>5</v>
      </c>
    </row>
    <row r="5" spans="1:4" s="12" customFormat="1">
      <c r="A5" s="20">
        <v>3</v>
      </c>
      <c r="B5" s="11" t="s">
        <v>4</v>
      </c>
      <c r="C5" s="10">
        <v>3</v>
      </c>
      <c r="D5" s="12" t="s">
        <v>5</v>
      </c>
    </row>
    <row r="6" spans="1:4" s="12" customFormat="1">
      <c r="A6" s="20">
        <v>4</v>
      </c>
      <c r="B6" s="11" t="s">
        <v>4</v>
      </c>
      <c r="C6" s="10">
        <v>4</v>
      </c>
      <c r="D6" s="12" t="s">
        <v>5</v>
      </c>
    </row>
    <row r="7" spans="1:4" s="12" customFormat="1">
      <c r="A7" s="20">
        <v>5</v>
      </c>
      <c r="B7" s="11" t="s">
        <v>4</v>
      </c>
      <c r="C7" s="10">
        <v>5</v>
      </c>
      <c r="D7" s="12" t="s">
        <v>5</v>
      </c>
    </row>
    <row r="8" spans="1:4" s="12" customFormat="1">
      <c r="A8" s="20">
        <v>6</v>
      </c>
      <c r="B8" s="11" t="s">
        <v>4</v>
      </c>
      <c r="C8" s="10">
        <v>6</v>
      </c>
      <c r="D8" s="12" t="s">
        <v>5</v>
      </c>
    </row>
    <row r="9" spans="1:4" s="12" customFormat="1">
      <c r="A9" s="20">
        <v>7</v>
      </c>
      <c r="B9" s="11" t="s">
        <v>4</v>
      </c>
      <c r="C9" s="10">
        <v>7</v>
      </c>
      <c r="D9" s="12" t="s">
        <v>5</v>
      </c>
    </row>
    <row r="10" spans="1:4" s="12" customFormat="1">
      <c r="A10" s="20">
        <v>8</v>
      </c>
      <c r="B10" s="11" t="s">
        <v>4</v>
      </c>
      <c r="C10" s="10">
        <v>8</v>
      </c>
      <c r="D10" s="12" t="s">
        <v>5</v>
      </c>
    </row>
    <row r="11" spans="1:4" s="12" customFormat="1">
      <c r="A11" s="20">
        <v>9</v>
      </c>
      <c r="B11" s="11" t="s">
        <v>4</v>
      </c>
      <c r="C11" s="10">
        <v>9</v>
      </c>
      <c r="D11" s="12" t="s">
        <v>5</v>
      </c>
    </row>
    <row r="12" spans="1:4" s="15" customFormat="1">
      <c r="A12" s="21">
        <v>10</v>
      </c>
      <c r="B12" s="14">
        <v>45499</v>
      </c>
      <c r="C12" s="13" t="s">
        <v>6</v>
      </c>
      <c r="D12" s="15" t="s">
        <v>7</v>
      </c>
    </row>
    <row r="13" spans="1:4" s="15" customFormat="1">
      <c r="A13" s="21">
        <v>11</v>
      </c>
      <c r="B13" s="14">
        <v>45499</v>
      </c>
      <c r="C13" s="13" t="s">
        <v>8</v>
      </c>
      <c r="D13" s="15" t="s">
        <v>7</v>
      </c>
    </row>
    <row r="14" spans="1:4" s="15" customFormat="1">
      <c r="A14" s="21">
        <v>12</v>
      </c>
      <c r="B14" s="14">
        <v>45499</v>
      </c>
      <c r="C14" s="13" t="s">
        <v>9</v>
      </c>
      <c r="D14" s="15" t="s">
        <v>7</v>
      </c>
    </row>
    <row r="15" spans="1:4" s="18" customFormat="1">
      <c r="A15" s="22">
        <v>13</v>
      </c>
      <c r="B15" s="17">
        <v>45499</v>
      </c>
      <c r="C15" s="16" t="s">
        <v>10</v>
      </c>
      <c r="D15" s="18" t="s">
        <v>11</v>
      </c>
    </row>
    <row r="16" spans="1:4" s="12" customFormat="1">
      <c r="A16" s="20">
        <v>14</v>
      </c>
      <c r="B16" s="19">
        <v>45583</v>
      </c>
      <c r="C16" s="10" t="s">
        <v>12</v>
      </c>
      <c r="D16" s="12" t="s">
        <v>13</v>
      </c>
    </row>
    <row r="17" spans="1:4" s="12" customFormat="1">
      <c r="A17" s="20">
        <v>15</v>
      </c>
      <c r="B17" s="19">
        <v>45583</v>
      </c>
      <c r="C17" s="10" t="s">
        <v>14</v>
      </c>
      <c r="D17" s="12" t="s">
        <v>13</v>
      </c>
    </row>
    <row r="18" spans="1:4" s="12" customFormat="1" ht="15" customHeight="1">
      <c r="A18" s="20">
        <v>16</v>
      </c>
      <c r="B18" s="19">
        <v>45583</v>
      </c>
      <c r="C18" s="10" t="s">
        <v>15</v>
      </c>
      <c r="D18" s="12" t="s">
        <v>13</v>
      </c>
    </row>
    <row r="19" spans="1:4" s="12" customFormat="1">
      <c r="A19" s="20">
        <v>17</v>
      </c>
      <c r="B19" s="19">
        <v>45583</v>
      </c>
      <c r="C19" s="10" t="s">
        <v>16</v>
      </c>
      <c r="D19" s="12" t="s">
        <v>17</v>
      </c>
    </row>
    <row r="20" spans="1:4" s="12" customFormat="1">
      <c r="A20" s="20">
        <v>18</v>
      </c>
      <c r="B20" s="19">
        <v>45583</v>
      </c>
      <c r="C20" s="10" t="s">
        <v>18</v>
      </c>
      <c r="D20" s="12" t="s">
        <v>17</v>
      </c>
    </row>
    <row r="21" spans="1:4" s="15" customFormat="1">
      <c r="A21" s="21">
        <v>19</v>
      </c>
      <c r="B21" s="14">
        <v>45583</v>
      </c>
      <c r="C21" s="13" t="s">
        <v>19</v>
      </c>
      <c r="D21" s="15" t="s">
        <v>7</v>
      </c>
    </row>
    <row r="22" spans="1:4" s="15" customFormat="1">
      <c r="A22" s="21">
        <v>20</v>
      </c>
      <c r="B22" s="14">
        <v>45583</v>
      </c>
      <c r="C22" s="13" t="s">
        <v>20</v>
      </c>
      <c r="D22" s="15" t="s">
        <v>7</v>
      </c>
    </row>
    <row r="23" spans="1:4">
      <c r="A23" s="9"/>
      <c r="B23" s="8"/>
      <c r="C23" s="8"/>
    </row>
    <row r="24" spans="1:4">
      <c r="A24" s="9"/>
      <c r="B24" s="8"/>
      <c r="C24" s="8"/>
    </row>
    <row r="25" spans="1:4">
      <c r="A25" s="9"/>
      <c r="B25" s="8"/>
      <c r="C25" s="8"/>
    </row>
    <row r="26" spans="1:4">
      <c r="A26" s="9"/>
      <c r="B26" s="8"/>
      <c r="C26" s="8"/>
    </row>
    <row r="27" spans="1:4">
      <c r="A27" s="9"/>
      <c r="B27" s="8"/>
      <c r="C27" s="8"/>
    </row>
    <row r="28" spans="1:4">
      <c r="A28" s="9"/>
      <c r="B28" s="8"/>
      <c r="C28" s="8"/>
    </row>
    <row r="29" spans="1:4">
      <c r="A29" s="9"/>
      <c r="B29" s="8"/>
      <c r="C29" s="8"/>
    </row>
    <row r="30" spans="1:4">
      <c r="A30" s="9"/>
      <c r="B30" s="8"/>
      <c r="C30" s="8"/>
    </row>
    <row r="31" spans="1:4">
      <c r="A31" s="9"/>
      <c r="B31" s="8"/>
      <c r="C31" s="8"/>
    </row>
    <row r="32" spans="1:4">
      <c r="A32" s="9"/>
      <c r="B32" s="8"/>
      <c r="C3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C992-F446-4027-BCC7-DBB66C618EF7}">
  <dimension ref="A2:W74"/>
  <sheetViews>
    <sheetView tabSelected="1" topLeftCell="A4" workbookViewId="0">
      <selection activeCell="H21" sqref="H21"/>
    </sheetView>
  </sheetViews>
  <sheetFormatPr defaultRowHeight="15"/>
  <cols>
    <col min="1" max="1" width="27.5703125" customWidth="1"/>
    <col min="4" max="4" width="12.28515625" customWidth="1"/>
    <col min="5" max="5" width="11.5703125" customWidth="1"/>
    <col min="10" max="10" width="9.42578125" bestFit="1" customWidth="1"/>
    <col min="11" max="11" width="11.28515625" customWidth="1"/>
    <col min="12" max="12" width="11.85546875" customWidth="1"/>
    <col min="13" max="13" width="12.140625" customWidth="1"/>
    <col min="14" max="14" width="9.7109375" customWidth="1"/>
    <col min="15" max="15" width="10.85546875" customWidth="1"/>
  </cols>
  <sheetData>
    <row r="2" spans="1:23" s="1" customFormat="1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</row>
    <row r="3" spans="1:23" s="4" customFormat="1" ht="15" customHeight="1">
      <c r="A3" s="27" t="s">
        <v>27</v>
      </c>
      <c r="B3" s="4">
        <v>1</v>
      </c>
      <c r="C3" s="4">
        <v>1</v>
      </c>
      <c r="D3" s="4">
        <v>12.26</v>
      </c>
      <c r="E3" s="4">
        <v>1</v>
      </c>
      <c r="F3" s="4">
        <v>1.17</v>
      </c>
      <c r="J3" s="32">
        <v>45475</v>
      </c>
      <c r="K3" s="4">
        <v>1</v>
      </c>
      <c r="L3" s="4">
        <v>64</v>
      </c>
      <c r="M3" s="4">
        <v>6.86</v>
      </c>
      <c r="N3" s="4">
        <v>1</v>
      </c>
      <c r="O3" s="4">
        <f>IF(K3=1,1.38, IF(K3=2,1.48,IF(K3=3,2.12,IF(K3=4,1.32,IF(K3=5,2.2,IF(K3=6,1.49,IF(K3=7,6.72,IF(K3=8,1.18,IF(K3=9,3.11,"")))))))))</f>
        <v>1.38</v>
      </c>
      <c r="R3" s="32">
        <v>45482</v>
      </c>
      <c r="S3" s="4">
        <v>1</v>
      </c>
      <c r="T3" s="4">
        <v>134</v>
      </c>
      <c r="U3" s="4">
        <v>19.399999999999999</v>
      </c>
      <c r="V3" s="4">
        <v>1</v>
      </c>
      <c r="W3" s="4">
        <f>IF(S3=1,1.38,IF(S3=2,1.48,IF(S3=3,2.12,IF(S3=4,1.32,IF(S3=5,2.2,IF(S3=6,1.49,IF(S3=7,6.72,IF(S3=8,1.18,IF(S3=9,3.11,"")))))))))</f>
        <v>1.38</v>
      </c>
    </row>
    <row r="4" spans="1:23" s="5" customFormat="1">
      <c r="A4" s="27"/>
      <c r="B4" s="5">
        <v>2</v>
      </c>
      <c r="C4" s="5">
        <v>2</v>
      </c>
      <c r="D4" s="5">
        <v>78.27</v>
      </c>
      <c r="E4" s="5">
        <v>1</v>
      </c>
      <c r="F4" s="5">
        <v>7.76</v>
      </c>
      <c r="J4" s="32"/>
      <c r="K4" s="4">
        <v>1</v>
      </c>
      <c r="L4" s="4">
        <v>65</v>
      </c>
      <c r="M4" s="5">
        <v>6.86</v>
      </c>
      <c r="N4" s="5">
        <v>1</v>
      </c>
      <c r="O4" s="4">
        <f t="shared" ref="O4:O67" si="0">IF(K4=1,1.38, IF(K4=2,1.48,IF(K4=3,2.12,IF(K4=4,1.32,IF(K4=5,2.2,IF(K4=6,1.49,IF(K4=7,6.72,IF(K4=8,1.18,IF(K4=9,3.11,"")))))))))</f>
        <v>1.38</v>
      </c>
      <c r="R4" s="27"/>
      <c r="S4" s="4">
        <v>1</v>
      </c>
      <c r="T4" s="4">
        <v>135</v>
      </c>
      <c r="U4" s="5">
        <v>19.399999999999999</v>
      </c>
      <c r="V4" s="4">
        <v>1</v>
      </c>
      <c r="W4" s="4">
        <f t="shared" ref="W4:W67" si="1">IF(S4=1,1.38,IF(S4=2,1.48,IF(S4=3,2.12,IF(S4=4,1.32,IF(S4=5,2.2,IF(S4=6,1.49,IF(S4=7,6.72,IF(S4=8,1.18,IF(S4=9,3.11,"")))))))))</f>
        <v>1.38</v>
      </c>
    </row>
    <row r="5" spans="1:23">
      <c r="A5" s="27"/>
      <c r="B5" s="3">
        <v>3</v>
      </c>
      <c r="C5">
        <v>3</v>
      </c>
      <c r="D5">
        <v>68.36</v>
      </c>
      <c r="E5">
        <v>1</v>
      </c>
      <c r="F5">
        <v>3.34</v>
      </c>
      <c r="J5" s="32"/>
      <c r="K5" s="4">
        <v>2</v>
      </c>
      <c r="L5" s="4">
        <v>66</v>
      </c>
      <c r="M5">
        <v>7.21</v>
      </c>
      <c r="N5">
        <v>1</v>
      </c>
      <c r="O5" s="4">
        <f t="shared" si="0"/>
        <v>1.48</v>
      </c>
      <c r="R5" s="27"/>
      <c r="S5" s="4">
        <v>2</v>
      </c>
      <c r="T5" s="4">
        <v>136</v>
      </c>
      <c r="U5">
        <v>19.86</v>
      </c>
      <c r="V5" s="4">
        <v>1</v>
      </c>
      <c r="W5" s="4">
        <f t="shared" si="1"/>
        <v>1.48</v>
      </c>
    </row>
    <row r="6" spans="1:23">
      <c r="A6" s="27"/>
      <c r="B6" s="3">
        <v>3</v>
      </c>
      <c r="C6">
        <v>4</v>
      </c>
      <c r="D6">
        <v>68.36</v>
      </c>
      <c r="E6">
        <v>1</v>
      </c>
      <c r="F6">
        <v>3.34</v>
      </c>
      <c r="J6" s="32"/>
      <c r="K6" s="4">
        <v>2</v>
      </c>
      <c r="L6" s="4">
        <v>67</v>
      </c>
      <c r="M6">
        <v>7.21</v>
      </c>
      <c r="N6">
        <v>1</v>
      </c>
      <c r="O6" s="4">
        <f t="shared" si="0"/>
        <v>1.48</v>
      </c>
      <c r="R6" s="27"/>
      <c r="S6" s="4">
        <v>2</v>
      </c>
      <c r="T6" s="4">
        <v>137</v>
      </c>
      <c r="U6">
        <v>19.86</v>
      </c>
      <c r="V6" s="4">
        <v>1</v>
      </c>
      <c r="W6" s="4">
        <f t="shared" si="1"/>
        <v>1.48</v>
      </c>
    </row>
    <row r="7" spans="1:23" ht="15.75" customHeight="1">
      <c r="A7" s="27"/>
      <c r="B7" s="3">
        <v>3</v>
      </c>
      <c r="C7">
        <v>5</v>
      </c>
      <c r="D7">
        <v>68.36</v>
      </c>
      <c r="E7">
        <v>1</v>
      </c>
      <c r="F7">
        <v>3.34</v>
      </c>
      <c r="J7" s="32"/>
      <c r="K7" s="4">
        <v>3</v>
      </c>
      <c r="L7" s="4">
        <v>68</v>
      </c>
      <c r="M7">
        <v>12.83</v>
      </c>
      <c r="N7">
        <v>1</v>
      </c>
      <c r="O7" s="4">
        <f t="shared" si="0"/>
        <v>2.12</v>
      </c>
      <c r="R7" s="27"/>
      <c r="S7" s="4">
        <v>2</v>
      </c>
      <c r="T7" s="4">
        <v>138</v>
      </c>
      <c r="U7">
        <v>19.86</v>
      </c>
      <c r="V7" s="4">
        <v>1</v>
      </c>
      <c r="W7" s="4">
        <f t="shared" si="1"/>
        <v>1.48</v>
      </c>
    </row>
    <row r="8" spans="1:23" s="4" customFormat="1">
      <c r="A8" s="27"/>
      <c r="B8" s="4">
        <v>4</v>
      </c>
      <c r="C8" s="4">
        <v>6</v>
      </c>
      <c r="D8" s="4">
        <v>13.5</v>
      </c>
      <c r="E8" s="4">
        <v>1</v>
      </c>
      <c r="F8" s="4">
        <v>1.22</v>
      </c>
      <c r="J8" s="32"/>
      <c r="K8" s="4">
        <v>3</v>
      </c>
      <c r="L8" s="4">
        <v>69</v>
      </c>
      <c r="M8" s="4">
        <v>12.83</v>
      </c>
      <c r="N8" s="4">
        <v>1</v>
      </c>
      <c r="O8" s="4">
        <f t="shared" si="0"/>
        <v>2.12</v>
      </c>
      <c r="R8" s="27"/>
      <c r="S8" s="4">
        <v>3</v>
      </c>
      <c r="T8" s="4">
        <v>139</v>
      </c>
      <c r="U8" s="4">
        <v>5.03</v>
      </c>
      <c r="V8" s="4">
        <v>1</v>
      </c>
      <c r="W8" s="4">
        <f t="shared" si="1"/>
        <v>2.12</v>
      </c>
    </row>
    <row r="9" spans="1:23" s="4" customFormat="1">
      <c r="A9" s="27"/>
      <c r="B9" s="4">
        <v>4</v>
      </c>
      <c r="C9" s="4">
        <v>7</v>
      </c>
      <c r="D9" s="4">
        <v>13.5</v>
      </c>
      <c r="E9" s="4">
        <v>1</v>
      </c>
      <c r="F9" s="4">
        <v>1.22</v>
      </c>
      <c r="J9" s="32"/>
      <c r="K9" s="4">
        <v>4</v>
      </c>
      <c r="L9" s="4">
        <v>70</v>
      </c>
      <c r="M9" s="4">
        <v>7.34</v>
      </c>
      <c r="N9" s="4">
        <v>1</v>
      </c>
      <c r="O9" s="4">
        <f t="shared" si="0"/>
        <v>1.32</v>
      </c>
      <c r="R9" s="27"/>
      <c r="S9" s="4">
        <v>3</v>
      </c>
      <c r="T9" s="4">
        <v>140</v>
      </c>
      <c r="U9" s="4">
        <v>5.03</v>
      </c>
      <c r="V9" s="4">
        <v>1</v>
      </c>
      <c r="W9" s="4">
        <f t="shared" si="1"/>
        <v>2.12</v>
      </c>
    </row>
    <row r="10" spans="1:23">
      <c r="A10" s="27"/>
      <c r="B10" s="3">
        <v>5</v>
      </c>
      <c r="C10">
        <v>8</v>
      </c>
      <c r="D10">
        <v>75.84</v>
      </c>
      <c r="E10">
        <v>1</v>
      </c>
      <c r="F10">
        <v>3.68</v>
      </c>
      <c r="J10" s="32"/>
      <c r="K10" s="4">
        <v>4</v>
      </c>
      <c r="L10" s="4">
        <v>71</v>
      </c>
      <c r="M10">
        <v>7.34</v>
      </c>
      <c r="N10" s="4">
        <v>1</v>
      </c>
      <c r="O10" s="4">
        <f t="shared" si="0"/>
        <v>1.32</v>
      </c>
      <c r="R10" s="27"/>
      <c r="S10" s="4">
        <v>3</v>
      </c>
      <c r="T10" s="4">
        <v>141</v>
      </c>
      <c r="U10" s="4">
        <v>5.03</v>
      </c>
      <c r="V10" s="4">
        <v>1</v>
      </c>
      <c r="W10" s="4">
        <f t="shared" si="1"/>
        <v>2.12</v>
      </c>
    </row>
    <row r="11" spans="1:23">
      <c r="A11" s="27"/>
      <c r="B11" s="3">
        <v>5</v>
      </c>
      <c r="C11">
        <v>9</v>
      </c>
      <c r="D11">
        <v>75.84</v>
      </c>
      <c r="E11">
        <v>1</v>
      </c>
      <c r="F11">
        <v>3.68</v>
      </c>
      <c r="J11" s="32"/>
      <c r="K11" s="4">
        <v>5</v>
      </c>
      <c r="L11" s="4">
        <v>72</v>
      </c>
      <c r="M11">
        <v>10.52</v>
      </c>
      <c r="N11" s="4">
        <v>1</v>
      </c>
      <c r="O11" s="4">
        <f t="shared" si="0"/>
        <v>2.2000000000000002</v>
      </c>
      <c r="R11" s="27"/>
      <c r="S11" s="4">
        <v>4</v>
      </c>
      <c r="T11" s="4">
        <v>142</v>
      </c>
      <c r="U11">
        <v>1.81</v>
      </c>
      <c r="V11" s="4">
        <v>1</v>
      </c>
      <c r="W11" s="4">
        <f t="shared" si="1"/>
        <v>1.32</v>
      </c>
    </row>
    <row r="12" spans="1:23" s="4" customFormat="1">
      <c r="A12" s="27"/>
      <c r="B12" s="4">
        <v>6</v>
      </c>
      <c r="C12" s="4">
        <v>10</v>
      </c>
      <c r="D12" s="4">
        <v>69.63</v>
      </c>
      <c r="E12" s="4">
        <v>1</v>
      </c>
      <c r="F12" s="4">
        <v>4.43</v>
      </c>
      <c r="J12" s="32"/>
      <c r="K12" s="4">
        <v>5</v>
      </c>
      <c r="L12" s="4">
        <v>73</v>
      </c>
      <c r="M12" s="4">
        <v>10.52</v>
      </c>
      <c r="N12" s="4">
        <v>1</v>
      </c>
      <c r="O12" s="4">
        <f t="shared" si="0"/>
        <v>2.2000000000000002</v>
      </c>
      <c r="R12" s="27"/>
      <c r="S12" s="4">
        <v>4</v>
      </c>
      <c r="T12" s="4">
        <v>143</v>
      </c>
      <c r="U12">
        <v>1.81</v>
      </c>
      <c r="V12" s="4">
        <v>1</v>
      </c>
      <c r="W12" s="4">
        <f t="shared" si="1"/>
        <v>1.32</v>
      </c>
    </row>
    <row r="13" spans="1:23" s="4" customFormat="1">
      <c r="A13" s="27"/>
      <c r="B13" s="4">
        <v>6</v>
      </c>
      <c r="C13" s="4">
        <v>11</v>
      </c>
      <c r="D13" s="4">
        <v>69.63</v>
      </c>
      <c r="E13" s="4">
        <v>1</v>
      </c>
      <c r="F13" s="4">
        <v>4.43</v>
      </c>
      <c r="J13" s="32"/>
      <c r="K13" s="4">
        <v>6</v>
      </c>
      <c r="L13" s="4">
        <v>74</v>
      </c>
      <c r="M13" s="4">
        <v>8.0399999999999991</v>
      </c>
      <c r="N13" s="4">
        <v>1</v>
      </c>
      <c r="O13" s="4">
        <f t="shared" si="0"/>
        <v>1.49</v>
      </c>
      <c r="R13" s="27"/>
      <c r="S13" s="4">
        <v>4</v>
      </c>
      <c r="T13" s="4">
        <v>144</v>
      </c>
      <c r="U13">
        <v>1.81</v>
      </c>
      <c r="V13" s="4">
        <v>1</v>
      </c>
      <c r="W13" s="4">
        <f t="shared" si="1"/>
        <v>1.32</v>
      </c>
    </row>
    <row r="14" spans="1:23">
      <c r="A14" s="27"/>
      <c r="B14" s="3">
        <v>7</v>
      </c>
      <c r="C14">
        <v>12</v>
      </c>
      <c r="D14">
        <v>86.86</v>
      </c>
      <c r="E14">
        <v>1</v>
      </c>
      <c r="F14">
        <v>5.34</v>
      </c>
      <c r="J14" s="32"/>
      <c r="K14" s="4">
        <v>6</v>
      </c>
      <c r="L14" s="4">
        <v>75</v>
      </c>
      <c r="M14" s="4">
        <v>8.0399999999999991</v>
      </c>
      <c r="N14" s="4">
        <v>1</v>
      </c>
      <c r="O14" s="4">
        <f t="shared" si="0"/>
        <v>1.49</v>
      </c>
      <c r="R14" s="27"/>
      <c r="S14" s="4">
        <v>5</v>
      </c>
      <c r="T14" s="4">
        <v>145</v>
      </c>
      <c r="U14">
        <v>4.12</v>
      </c>
      <c r="V14" s="4">
        <v>1</v>
      </c>
      <c r="W14" s="4">
        <f t="shared" si="1"/>
        <v>2.2000000000000002</v>
      </c>
    </row>
    <row r="15" spans="1:23">
      <c r="A15" s="27"/>
      <c r="B15" s="3">
        <v>7</v>
      </c>
      <c r="C15">
        <v>13</v>
      </c>
      <c r="D15">
        <v>86.86</v>
      </c>
      <c r="E15">
        <v>1</v>
      </c>
      <c r="F15">
        <v>5.34</v>
      </c>
      <c r="J15" s="32"/>
      <c r="K15" s="4">
        <v>6</v>
      </c>
      <c r="L15" s="4">
        <v>76</v>
      </c>
      <c r="M15" s="4">
        <v>8.0399999999999991</v>
      </c>
      <c r="N15" s="4">
        <v>1</v>
      </c>
      <c r="O15" s="4">
        <f t="shared" si="0"/>
        <v>1.49</v>
      </c>
      <c r="R15" s="27"/>
      <c r="S15" s="4">
        <v>5</v>
      </c>
      <c r="T15" s="4">
        <v>146</v>
      </c>
      <c r="U15">
        <v>4.12</v>
      </c>
      <c r="V15" s="4">
        <v>1</v>
      </c>
      <c r="W15" s="4">
        <f t="shared" si="1"/>
        <v>2.2000000000000002</v>
      </c>
    </row>
    <row r="16" spans="1:23" ht="15" customHeight="1">
      <c r="A16" s="27"/>
      <c r="B16" s="3">
        <v>7</v>
      </c>
      <c r="C16">
        <v>14</v>
      </c>
      <c r="D16">
        <v>86.86</v>
      </c>
      <c r="E16">
        <v>1</v>
      </c>
      <c r="F16">
        <v>5.34</v>
      </c>
      <c r="J16" s="32"/>
      <c r="K16" s="4">
        <v>7</v>
      </c>
      <c r="L16" s="4">
        <v>77</v>
      </c>
      <c r="M16" s="4">
        <v>12.25</v>
      </c>
      <c r="N16" s="4">
        <v>1</v>
      </c>
      <c r="O16" s="4">
        <f t="shared" si="0"/>
        <v>6.72</v>
      </c>
      <c r="R16" s="27"/>
      <c r="S16" s="4">
        <v>5</v>
      </c>
      <c r="T16" s="4">
        <v>147</v>
      </c>
      <c r="U16">
        <v>4.12</v>
      </c>
      <c r="V16" s="4">
        <v>1</v>
      </c>
      <c r="W16" s="4">
        <f t="shared" si="1"/>
        <v>2.2000000000000002</v>
      </c>
    </row>
    <row r="17" spans="1:23" s="4" customFormat="1">
      <c r="A17" s="27"/>
      <c r="B17" s="4">
        <v>8</v>
      </c>
      <c r="C17" s="4">
        <v>15</v>
      </c>
      <c r="D17" s="4">
        <v>4.13</v>
      </c>
      <c r="E17" s="4">
        <v>1</v>
      </c>
      <c r="F17" s="4">
        <v>0.99</v>
      </c>
      <c r="J17" s="32"/>
      <c r="K17" s="4">
        <v>7</v>
      </c>
      <c r="L17" s="4">
        <v>78</v>
      </c>
      <c r="M17" s="4">
        <v>12.25</v>
      </c>
      <c r="N17" s="4">
        <v>1</v>
      </c>
      <c r="O17" s="4">
        <f t="shared" si="0"/>
        <v>6.72</v>
      </c>
      <c r="R17" s="27"/>
      <c r="S17" s="4">
        <v>6</v>
      </c>
      <c r="T17" s="4">
        <v>148</v>
      </c>
      <c r="U17" s="4">
        <v>2.36</v>
      </c>
      <c r="V17" s="4">
        <v>1</v>
      </c>
      <c r="W17" s="4">
        <f t="shared" si="1"/>
        <v>1.49</v>
      </c>
    </row>
    <row r="18" spans="1:23" s="4" customFormat="1">
      <c r="A18" s="27"/>
      <c r="B18" s="4">
        <v>8</v>
      </c>
      <c r="C18" s="4">
        <v>16</v>
      </c>
      <c r="D18" s="4">
        <v>4.13</v>
      </c>
      <c r="E18" s="4">
        <v>1</v>
      </c>
      <c r="F18" s="4">
        <v>0.99</v>
      </c>
      <c r="J18" s="32"/>
      <c r="K18" s="4">
        <v>7</v>
      </c>
      <c r="L18" s="4">
        <v>79</v>
      </c>
      <c r="M18" s="4">
        <v>12.25</v>
      </c>
      <c r="N18" s="4">
        <v>1</v>
      </c>
      <c r="O18" s="4">
        <f t="shared" si="0"/>
        <v>6.72</v>
      </c>
      <c r="R18" s="27"/>
      <c r="S18" s="4">
        <v>6</v>
      </c>
      <c r="T18" s="4">
        <v>149</v>
      </c>
      <c r="U18" s="4">
        <v>2.36</v>
      </c>
      <c r="V18" s="4">
        <v>1</v>
      </c>
      <c r="W18" s="4">
        <f t="shared" si="1"/>
        <v>1.49</v>
      </c>
    </row>
    <row r="19" spans="1:23">
      <c r="A19" s="27"/>
      <c r="B19" s="3">
        <v>9</v>
      </c>
      <c r="C19">
        <v>17</v>
      </c>
      <c r="D19" s="4">
        <v>34.31</v>
      </c>
      <c r="E19">
        <v>1</v>
      </c>
      <c r="F19">
        <v>1.31</v>
      </c>
      <c r="J19" s="32"/>
      <c r="K19" s="4">
        <v>8</v>
      </c>
      <c r="L19" s="4">
        <v>80</v>
      </c>
      <c r="M19" s="4">
        <v>7.07</v>
      </c>
      <c r="N19" s="4">
        <v>1</v>
      </c>
      <c r="O19" s="4">
        <f t="shared" si="0"/>
        <v>1.18</v>
      </c>
      <c r="R19" s="27"/>
      <c r="S19" s="4">
        <v>7</v>
      </c>
      <c r="T19" s="4">
        <v>150</v>
      </c>
      <c r="U19">
        <v>25.64</v>
      </c>
      <c r="V19" s="4">
        <v>1</v>
      </c>
      <c r="W19" s="4">
        <f t="shared" si="1"/>
        <v>6.72</v>
      </c>
    </row>
    <row r="20" spans="1:23">
      <c r="A20" s="27"/>
      <c r="B20" s="3">
        <v>9</v>
      </c>
      <c r="C20">
        <v>18</v>
      </c>
      <c r="D20" s="4">
        <v>34.31</v>
      </c>
      <c r="E20">
        <v>1</v>
      </c>
      <c r="F20">
        <v>1.31</v>
      </c>
      <c r="J20" s="32"/>
      <c r="K20" s="4">
        <v>8</v>
      </c>
      <c r="L20" s="4">
        <v>81</v>
      </c>
      <c r="M20" s="4">
        <v>7.07</v>
      </c>
      <c r="N20" s="4">
        <v>1</v>
      </c>
      <c r="O20" s="4">
        <f t="shared" si="0"/>
        <v>1.18</v>
      </c>
      <c r="R20" s="27"/>
      <c r="S20" s="4">
        <v>7</v>
      </c>
      <c r="T20" s="4">
        <v>151</v>
      </c>
      <c r="U20">
        <v>25.64</v>
      </c>
      <c r="V20" s="4">
        <v>1</v>
      </c>
      <c r="W20" s="4">
        <f t="shared" si="1"/>
        <v>6.72</v>
      </c>
    </row>
    <row r="21" spans="1:23">
      <c r="A21" s="27"/>
      <c r="B21" s="3">
        <v>9</v>
      </c>
      <c r="C21">
        <v>19</v>
      </c>
      <c r="D21" s="4">
        <v>34.31</v>
      </c>
      <c r="E21">
        <v>1</v>
      </c>
      <c r="F21">
        <v>1.31</v>
      </c>
      <c r="J21" s="32"/>
      <c r="K21" s="4">
        <v>8</v>
      </c>
      <c r="L21" s="4">
        <v>82</v>
      </c>
      <c r="M21" s="4">
        <v>7.07</v>
      </c>
      <c r="N21" s="4">
        <v>1</v>
      </c>
      <c r="O21" s="4">
        <f t="shared" si="0"/>
        <v>1.18</v>
      </c>
      <c r="R21" s="27"/>
      <c r="S21" s="4">
        <v>7</v>
      </c>
      <c r="T21" s="4">
        <v>152</v>
      </c>
      <c r="U21">
        <v>25.64</v>
      </c>
      <c r="V21" s="4">
        <v>1</v>
      </c>
      <c r="W21" s="4">
        <f t="shared" si="1"/>
        <v>6.72</v>
      </c>
    </row>
    <row r="22" spans="1:23">
      <c r="A22" s="28" t="s">
        <v>28</v>
      </c>
      <c r="B22" s="3">
        <v>1</v>
      </c>
      <c r="C22">
        <v>20</v>
      </c>
      <c r="D22" s="4">
        <v>0</v>
      </c>
      <c r="E22">
        <v>1</v>
      </c>
      <c r="F22">
        <v>1.38</v>
      </c>
      <c r="J22" s="32"/>
      <c r="K22" s="4">
        <v>9</v>
      </c>
      <c r="L22" s="4">
        <v>83</v>
      </c>
      <c r="M22" s="4">
        <v>14.96</v>
      </c>
      <c r="N22" s="4">
        <v>1</v>
      </c>
      <c r="O22" s="4">
        <f t="shared" si="0"/>
        <v>3.11</v>
      </c>
      <c r="R22" s="27"/>
      <c r="S22" s="4">
        <v>8</v>
      </c>
      <c r="T22" s="4">
        <v>153</v>
      </c>
      <c r="U22">
        <v>22.42</v>
      </c>
      <c r="V22" s="4">
        <v>1</v>
      </c>
      <c r="W22" s="4">
        <f t="shared" si="1"/>
        <v>1.18</v>
      </c>
    </row>
    <row r="23" spans="1:23">
      <c r="A23" s="28"/>
      <c r="B23" s="3">
        <v>1</v>
      </c>
      <c r="C23">
        <v>21</v>
      </c>
      <c r="D23" s="4">
        <v>0</v>
      </c>
      <c r="E23">
        <v>1</v>
      </c>
      <c r="F23">
        <f>IF(B23=1,1.38,IF(B23=2,1.48,IF(B23=3,2.12,"")))</f>
        <v>1.38</v>
      </c>
      <c r="J23" s="32"/>
      <c r="K23" s="4">
        <v>9</v>
      </c>
      <c r="L23" s="4">
        <v>84</v>
      </c>
      <c r="M23" s="4">
        <v>14.96</v>
      </c>
      <c r="N23" s="4">
        <v>1</v>
      </c>
      <c r="O23" s="4">
        <f t="shared" si="0"/>
        <v>3.11</v>
      </c>
      <c r="R23" s="27"/>
      <c r="S23" s="4">
        <v>8</v>
      </c>
      <c r="T23" s="4">
        <v>154</v>
      </c>
      <c r="U23">
        <v>22.42</v>
      </c>
      <c r="V23" s="4">
        <v>1</v>
      </c>
      <c r="W23" s="4">
        <f t="shared" si="1"/>
        <v>1.18</v>
      </c>
    </row>
    <row r="24" spans="1:23">
      <c r="A24" s="28"/>
      <c r="B24" s="3">
        <v>2</v>
      </c>
      <c r="C24">
        <v>22</v>
      </c>
      <c r="D24" s="4">
        <v>0</v>
      </c>
      <c r="E24">
        <v>1</v>
      </c>
      <c r="F24">
        <v>1.48</v>
      </c>
      <c r="J24" s="32"/>
      <c r="K24" s="4">
        <v>9</v>
      </c>
      <c r="L24" s="4">
        <v>85</v>
      </c>
      <c r="M24" s="4">
        <v>14.96</v>
      </c>
      <c r="N24" s="4">
        <v>1</v>
      </c>
      <c r="O24" s="4">
        <f t="shared" si="0"/>
        <v>3.11</v>
      </c>
      <c r="R24" s="27"/>
      <c r="S24" s="4">
        <v>8</v>
      </c>
      <c r="T24" s="4">
        <v>155</v>
      </c>
      <c r="U24">
        <v>22.42</v>
      </c>
      <c r="V24" s="4">
        <v>1</v>
      </c>
      <c r="W24" s="4">
        <f t="shared" si="1"/>
        <v>1.18</v>
      </c>
    </row>
    <row r="25" spans="1:23" ht="15" customHeight="1">
      <c r="A25" s="28"/>
      <c r="B25" s="3">
        <v>2</v>
      </c>
      <c r="C25">
        <v>23</v>
      </c>
      <c r="D25" s="4">
        <v>0</v>
      </c>
      <c r="E25">
        <v>1</v>
      </c>
      <c r="F25">
        <f t="shared" ref="F25:F28" si="2">IF(B25=1,1.38,IF(B25=2,1.48,IF(B25=3,2.12,"")))</f>
        <v>1.48</v>
      </c>
      <c r="J25" s="30">
        <v>45478</v>
      </c>
      <c r="K25" s="4">
        <v>1</v>
      </c>
      <c r="L25" s="4">
        <v>86</v>
      </c>
      <c r="M25" s="4">
        <v>2.73</v>
      </c>
      <c r="N25" s="4">
        <v>1</v>
      </c>
      <c r="O25" s="4">
        <f t="shared" si="0"/>
        <v>1.38</v>
      </c>
      <c r="R25" s="27"/>
      <c r="S25" s="4">
        <v>9</v>
      </c>
      <c r="T25" s="4">
        <v>156</v>
      </c>
      <c r="U25">
        <v>23.27</v>
      </c>
      <c r="V25" s="4">
        <v>1</v>
      </c>
      <c r="W25" s="4">
        <f t="shared" si="1"/>
        <v>3.11</v>
      </c>
    </row>
    <row r="26" spans="1:23">
      <c r="A26" s="28"/>
      <c r="B26" s="3">
        <v>2</v>
      </c>
      <c r="C26">
        <v>24</v>
      </c>
      <c r="D26" s="4">
        <v>0</v>
      </c>
      <c r="E26">
        <v>1</v>
      </c>
      <c r="F26">
        <f t="shared" si="2"/>
        <v>1.48</v>
      </c>
      <c r="J26" s="30"/>
      <c r="K26" s="4">
        <v>1</v>
      </c>
      <c r="L26" s="4">
        <v>87</v>
      </c>
      <c r="M26" s="4">
        <v>2.73</v>
      </c>
      <c r="N26" s="4">
        <v>1</v>
      </c>
      <c r="O26" s="4">
        <f t="shared" si="0"/>
        <v>1.38</v>
      </c>
      <c r="R26" s="27"/>
      <c r="S26" s="4">
        <v>9</v>
      </c>
      <c r="T26" s="4">
        <v>157</v>
      </c>
      <c r="U26">
        <v>23.27</v>
      </c>
      <c r="V26" s="4">
        <v>1</v>
      </c>
      <c r="W26" s="4">
        <f t="shared" si="1"/>
        <v>3.11</v>
      </c>
    </row>
    <row r="27" spans="1:23">
      <c r="A27" s="28"/>
      <c r="B27" s="3">
        <v>3</v>
      </c>
      <c r="C27">
        <v>25</v>
      </c>
      <c r="D27" s="4">
        <v>0</v>
      </c>
      <c r="E27">
        <v>1</v>
      </c>
      <c r="F27">
        <f t="shared" si="2"/>
        <v>2.12</v>
      </c>
      <c r="J27" s="30"/>
      <c r="K27" s="4">
        <v>2</v>
      </c>
      <c r="L27" s="4">
        <v>88</v>
      </c>
      <c r="M27" s="4">
        <v>5.0999999999999996</v>
      </c>
      <c r="N27" s="4">
        <v>1</v>
      </c>
      <c r="O27" s="4">
        <f t="shared" si="0"/>
        <v>1.48</v>
      </c>
      <c r="R27" s="27"/>
      <c r="S27" s="4">
        <v>9</v>
      </c>
      <c r="T27" s="4">
        <v>158</v>
      </c>
      <c r="U27">
        <v>23.27</v>
      </c>
      <c r="V27" s="4">
        <v>1</v>
      </c>
      <c r="W27" s="4">
        <f t="shared" si="1"/>
        <v>3.11</v>
      </c>
    </row>
    <row r="28" spans="1:23">
      <c r="A28" s="28"/>
      <c r="B28" s="3">
        <v>3</v>
      </c>
      <c r="C28">
        <v>26</v>
      </c>
      <c r="D28" s="4">
        <v>0</v>
      </c>
      <c r="E28">
        <v>1</v>
      </c>
      <c r="F28">
        <f t="shared" si="2"/>
        <v>2.12</v>
      </c>
      <c r="J28" s="30"/>
      <c r="K28" s="4">
        <v>2</v>
      </c>
      <c r="L28" s="4">
        <v>89</v>
      </c>
      <c r="M28" s="4">
        <v>5.0999999999999996</v>
      </c>
      <c r="N28" s="4">
        <v>1</v>
      </c>
      <c r="O28" s="4">
        <f t="shared" si="0"/>
        <v>1.48</v>
      </c>
      <c r="R28" s="33">
        <v>45484</v>
      </c>
      <c r="S28" s="4">
        <v>1</v>
      </c>
      <c r="T28" s="4">
        <v>159</v>
      </c>
      <c r="U28">
        <v>3.03</v>
      </c>
      <c r="V28" s="4">
        <v>1</v>
      </c>
      <c r="W28" s="4">
        <f t="shared" si="1"/>
        <v>1.38</v>
      </c>
    </row>
    <row r="29" spans="1:23">
      <c r="A29" s="28"/>
      <c r="B29" s="3">
        <v>3</v>
      </c>
      <c r="C29">
        <v>27</v>
      </c>
      <c r="D29" s="4">
        <v>0</v>
      </c>
      <c r="E29">
        <v>1</v>
      </c>
      <c r="F29">
        <v>2.12</v>
      </c>
      <c r="J29" s="30"/>
      <c r="K29" s="4">
        <v>2</v>
      </c>
      <c r="L29" s="4">
        <v>90</v>
      </c>
      <c r="M29" s="4">
        <v>5.0999999999999996</v>
      </c>
      <c r="N29" s="4">
        <v>1</v>
      </c>
      <c r="O29" s="4">
        <f t="shared" si="0"/>
        <v>1.48</v>
      </c>
      <c r="R29" s="34"/>
      <c r="S29" s="4">
        <v>1</v>
      </c>
      <c r="T29" s="4">
        <v>160</v>
      </c>
      <c r="U29">
        <v>3.03</v>
      </c>
      <c r="V29" s="4">
        <v>1</v>
      </c>
      <c r="W29" s="4">
        <f t="shared" si="1"/>
        <v>1.38</v>
      </c>
    </row>
    <row r="30" spans="1:23">
      <c r="A30" s="28"/>
      <c r="B30" s="3">
        <v>4</v>
      </c>
      <c r="C30">
        <v>28</v>
      </c>
      <c r="D30" s="4">
        <v>0</v>
      </c>
      <c r="E30">
        <v>1</v>
      </c>
      <c r="F30">
        <f t="shared" ref="F30:F65" si="3">IF(B30=1,1.38,IF(B30=2,1.48,IF(B30=3,2.12,IF(B30=4,1.32,IF(B30=5,2.2,IF(B30=6,1.49,IF(B30=7,6.72,IF(B30=8,1.18,IF(B30=9,3.11,"")))))))))</f>
        <v>1.32</v>
      </c>
      <c r="J30" s="30"/>
      <c r="K30" s="4">
        <v>3</v>
      </c>
      <c r="L30" s="4">
        <v>91</v>
      </c>
      <c r="M30" s="4">
        <v>5.56</v>
      </c>
      <c r="N30" s="4">
        <v>1</v>
      </c>
      <c r="O30" s="4">
        <f t="shared" si="0"/>
        <v>2.12</v>
      </c>
      <c r="R30" s="34"/>
      <c r="S30" s="4">
        <v>1</v>
      </c>
      <c r="T30" s="4">
        <v>161</v>
      </c>
      <c r="U30">
        <v>3.03</v>
      </c>
      <c r="V30" s="4">
        <v>1</v>
      </c>
      <c r="W30" s="4">
        <f t="shared" si="1"/>
        <v>1.38</v>
      </c>
    </row>
    <row r="31" spans="1:23">
      <c r="A31" s="28"/>
      <c r="B31" s="3">
        <v>4</v>
      </c>
      <c r="C31">
        <v>29</v>
      </c>
      <c r="D31" s="4">
        <v>0</v>
      </c>
      <c r="E31">
        <v>1</v>
      </c>
      <c r="F31">
        <f>IF(B31=1,1.38,IF(B31=2,1.48,IF(B31=3,2.12,IF(B31=4,1.32,IF(B31=5,2.2,IF(B31=6,1.49,IF(B31=7,6.72,IF(B31=8,1.18,IF(B31=9,3.11,"")))))))))</f>
        <v>1.32</v>
      </c>
      <c r="J31" s="30"/>
      <c r="K31" s="4">
        <v>3</v>
      </c>
      <c r="L31" s="4">
        <v>92</v>
      </c>
      <c r="M31" s="4">
        <v>5.56</v>
      </c>
      <c r="N31" s="4">
        <v>1</v>
      </c>
      <c r="O31" s="4">
        <f t="shared" si="0"/>
        <v>2.12</v>
      </c>
      <c r="R31" s="34"/>
      <c r="S31" s="4">
        <v>2</v>
      </c>
      <c r="T31" s="4">
        <v>162</v>
      </c>
      <c r="U31">
        <v>2.6</v>
      </c>
      <c r="V31" s="4">
        <v>1</v>
      </c>
      <c r="W31" s="4">
        <f t="shared" si="1"/>
        <v>1.48</v>
      </c>
    </row>
    <row r="32" spans="1:23">
      <c r="A32" s="28"/>
      <c r="B32" s="3">
        <v>4</v>
      </c>
      <c r="C32">
        <v>30</v>
      </c>
      <c r="D32" s="4">
        <v>0</v>
      </c>
      <c r="E32">
        <v>1</v>
      </c>
      <c r="F32">
        <f t="shared" si="3"/>
        <v>1.32</v>
      </c>
      <c r="J32" s="30"/>
      <c r="K32" s="4">
        <v>4</v>
      </c>
      <c r="L32" s="4">
        <v>93</v>
      </c>
      <c r="M32" s="4">
        <v>2.37</v>
      </c>
      <c r="N32" s="4">
        <v>1</v>
      </c>
      <c r="O32" s="4">
        <f t="shared" si="0"/>
        <v>1.32</v>
      </c>
      <c r="R32" s="34"/>
      <c r="S32" s="4">
        <v>2</v>
      </c>
      <c r="T32" s="4">
        <v>163</v>
      </c>
      <c r="U32">
        <v>2.6</v>
      </c>
      <c r="V32" s="4">
        <v>1</v>
      </c>
      <c r="W32" s="4">
        <f t="shared" si="1"/>
        <v>1.48</v>
      </c>
    </row>
    <row r="33" spans="1:23">
      <c r="A33" s="28"/>
      <c r="B33" s="3">
        <v>5</v>
      </c>
      <c r="C33">
        <v>31</v>
      </c>
      <c r="D33" s="4">
        <v>0</v>
      </c>
      <c r="E33">
        <v>1</v>
      </c>
      <c r="F33">
        <f t="shared" si="3"/>
        <v>2.2000000000000002</v>
      </c>
      <c r="J33" s="30"/>
      <c r="K33" s="4">
        <v>4</v>
      </c>
      <c r="L33" s="4">
        <v>94</v>
      </c>
      <c r="M33" s="4">
        <v>2.37</v>
      </c>
      <c r="N33" s="4">
        <v>1</v>
      </c>
      <c r="O33" s="4">
        <f t="shared" si="0"/>
        <v>1.32</v>
      </c>
      <c r="R33" s="34"/>
      <c r="S33" s="4">
        <v>2</v>
      </c>
      <c r="T33" s="4">
        <v>164</v>
      </c>
      <c r="U33">
        <v>2.6</v>
      </c>
      <c r="V33" s="4">
        <v>1</v>
      </c>
      <c r="W33" s="4">
        <f t="shared" si="1"/>
        <v>1.48</v>
      </c>
    </row>
    <row r="34" spans="1:23">
      <c r="A34" s="28"/>
      <c r="B34" s="3">
        <v>5</v>
      </c>
      <c r="C34">
        <v>32</v>
      </c>
      <c r="D34" s="4">
        <v>0</v>
      </c>
      <c r="E34">
        <v>1</v>
      </c>
      <c r="F34">
        <f t="shared" si="3"/>
        <v>2.2000000000000002</v>
      </c>
      <c r="J34" s="30"/>
      <c r="K34" s="4">
        <v>5</v>
      </c>
      <c r="L34" s="4">
        <v>95</v>
      </c>
      <c r="M34" s="4">
        <v>4.33</v>
      </c>
      <c r="N34" s="4">
        <v>1</v>
      </c>
      <c r="O34" s="4">
        <f t="shared" si="0"/>
        <v>2.2000000000000002</v>
      </c>
      <c r="R34" s="34"/>
      <c r="S34" s="4">
        <v>3</v>
      </c>
      <c r="T34" s="4">
        <v>165</v>
      </c>
      <c r="U34">
        <v>5.03</v>
      </c>
      <c r="V34" s="4">
        <v>1</v>
      </c>
      <c r="W34" s="4">
        <f t="shared" si="1"/>
        <v>2.12</v>
      </c>
    </row>
    <row r="35" spans="1:23">
      <c r="A35" s="28"/>
      <c r="B35" s="3">
        <v>5</v>
      </c>
      <c r="C35">
        <v>33</v>
      </c>
      <c r="D35" s="4">
        <v>0</v>
      </c>
      <c r="E35">
        <v>1</v>
      </c>
      <c r="F35">
        <v>2.2000000000000002</v>
      </c>
      <c r="J35" s="30"/>
      <c r="K35" s="4">
        <v>5</v>
      </c>
      <c r="L35" s="4">
        <v>96</v>
      </c>
      <c r="M35" s="4">
        <v>4.33</v>
      </c>
      <c r="N35" s="4">
        <v>1</v>
      </c>
      <c r="O35" s="4">
        <f t="shared" si="0"/>
        <v>2.2000000000000002</v>
      </c>
      <c r="R35" s="34"/>
      <c r="S35" s="4">
        <v>3</v>
      </c>
      <c r="T35" s="4">
        <v>166</v>
      </c>
      <c r="U35">
        <v>5.03</v>
      </c>
      <c r="V35" s="4">
        <v>1</v>
      </c>
      <c r="W35" s="4">
        <f t="shared" si="1"/>
        <v>2.12</v>
      </c>
    </row>
    <row r="36" spans="1:23">
      <c r="A36" s="28"/>
      <c r="B36" s="3">
        <v>6</v>
      </c>
      <c r="C36">
        <v>34</v>
      </c>
      <c r="D36" s="4">
        <v>0</v>
      </c>
      <c r="E36">
        <v>1</v>
      </c>
      <c r="F36">
        <f t="shared" si="3"/>
        <v>1.49</v>
      </c>
      <c r="J36" s="30"/>
      <c r="K36" s="4">
        <v>6</v>
      </c>
      <c r="L36" s="4">
        <v>97</v>
      </c>
      <c r="M36" s="4">
        <v>2.79</v>
      </c>
      <c r="N36" s="4">
        <v>1</v>
      </c>
      <c r="O36" s="4">
        <f t="shared" si="0"/>
        <v>1.49</v>
      </c>
      <c r="R36" s="34"/>
      <c r="S36" s="4">
        <v>3</v>
      </c>
      <c r="T36" s="4">
        <v>167</v>
      </c>
      <c r="U36">
        <v>5.03</v>
      </c>
      <c r="V36" s="4">
        <v>1</v>
      </c>
      <c r="W36" s="4">
        <f t="shared" si="1"/>
        <v>2.12</v>
      </c>
    </row>
    <row r="37" spans="1:23">
      <c r="A37" s="28"/>
      <c r="B37" s="3">
        <v>6</v>
      </c>
      <c r="C37">
        <v>35</v>
      </c>
      <c r="D37" s="4">
        <v>0</v>
      </c>
      <c r="E37">
        <v>1</v>
      </c>
      <c r="F37">
        <f t="shared" si="3"/>
        <v>1.49</v>
      </c>
      <c r="J37" s="30"/>
      <c r="K37" s="4">
        <v>6</v>
      </c>
      <c r="L37" s="4">
        <v>98</v>
      </c>
      <c r="M37" s="4">
        <v>2.79</v>
      </c>
      <c r="N37" s="4">
        <v>1</v>
      </c>
      <c r="O37" s="4">
        <f t="shared" si="0"/>
        <v>1.49</v>
      </c>
      <c r="R37" s="34"/>
      <c r="S37" s="4">
        <v>4</v>
      </c>
      <c r="T37" s="4">
        <v>168</v>
      </c>
      <c r="U37">
        <v>1.81</v>
      </c>
      <c r="V37" s="4">
        <v>1</v>
      </c>
      <c r="W37" s="4">
        <f t="shared" si="1"/>
        <v>1.32</v>
      </c>
    </row>
    <row r="38" spans="1:23">
      <c r="A38" s="28"/>
      <c r="B38" s="3">
        <v>6</v>
      </c>
      <c r="C38">
        <v>36</v>
      </c>
      <c r="D38" s="4">
        <v>0</v>
      </c>
      <c r="E38">
        <v>1</v>
      </c>
      <c r="F38">
        <f t="shared" si="3"/>
        <v>1.49</v>
      </c>
      <c r="J38" s="30"/>
      <c r="K38" s="4">
        <v>7</v>
      </c>
      <c r="L38" s="4">
        <v>99</v>
      </c>
      <c r="M38" s="4">
        <v>5.68</v>
      </c>
      <c r="N38" s="4">
        <v>1</v>
      </c>
      <c r="O38" s="4">
        <f t="shared" si="0"/>
        <v>6.72</v>
      </c>
      <c r="R38" s="34"/>
      <c r="S38" s="4">
        <v>4</v>
      </c>
      <c r="T38" s="4">
        <v>169</v>
      </c>
      <c r="U38">
        <v>1.81</v>
      </c>
      <c r="V38" s="4">
        <v>1</v>
      </c>
      <c r="W38" s="4">
        <f t="shared" si="1"/>
        <v>1.32</v>
      </c>
    </row>
    <row r="39" spans="1:23">
      <c r="A39" s="28"/>
      <c r="B39" s="3">
        <v>7</v>
      </c>
      <c r="C39">
        <v>37</v>
      </c>
      <c r="D39" s="4">
        <v>0</v>
      </c>
      <c r="E39">
        <v>1</v>
      </c>
      <c r="F39">
        <f t="shared" si="3"/>
        <v>6.72</v>
      </c>
      <c r="J39" s="30"/>
      <c r="K39" s="4">
        <v>7</v>
      </c>
      <c r="L39" s="4">
        <v>100</v>
      </c>
      <c r="M39" s="4">
        <v>5.68</v>
      </c>
      <c r="N39" s="4">
        <v>1</v>
      </c>
      <c r="O39" s="4">
        <f t="shared" si="0"/>
        <v>6.72</v>
      </c>
      <c r="R39" s="34"/>
      <c r="S39" s="4">
        <v>4</v>
      </c>
      <c r="T39" s="4">
        <v>170</v>
      </c>
      <c r="U39">
        <v>1.81</v>
      </c>
      <c r="V39" s="4">
        <v>1</v>
      </c>
      <c r="W39" s="4">
        <f t="shared" si="1"/>
        <v>1.32</v>
      </c>
    </row>
    <row r="40" spans="1:23" ht="15" customHeight="1">
      <c r="A40" s="28"/>
      <c r="B40" s="3">
        <v>7</v>
      </c>
      <c r="C40">
        <v>38</v>
      </c>
      <c r="D40" s="4">
        <v>0</v>
      </c>
      <c r="E40">
        <v>1</v>
      </c>
      <c r="F40">
        <f t="shared" si="3"/>
        <v>6.72</v>
      </c>
      <c r="J40" s="30">
        <v>45478</v>
      </c>
      <c r="K40" s="4">
        <v>8</v>
      </c>
      <c r="L40" s="4">
        <v>101</v>
      </c>
      <c r="M40" s="4">
        <v>3.91</v>
      </c>
      <c r="N40" s="4">
        <v>1</v>
      </c>
      <c r="O40" s="4">
        <f t="shared" si="0"/>
        <v>1.18</v>
      </c>
      <c r="R40" s="34"/>
      <c r="S40" s="4">
        <v>5</v>
      </c>
      <c r="T40" s="4">
        <v>171</v>
      </c>
      <c r="U40">
        <v>4.12</v>
      </c>
      <c r="V40" s="4">
        <v>1</v>
      </c>
      <c r="W40" s="4">
        <f t="shared" si="1"/>
        <v>2.2000000000000002</v>
      </c>
    </row>
    <row r="41" spans="1:23">
      <c r="A41" s="28"/>
      <c r="B41" s="3">
        <v>7</v>
      </c>
      <c r="C41">
        <v>39</v>
      </c>
      <c r="D41" s="4">
        <v>0</v>
      </c>
      <c r="E41">
        <v>1</v>
      </c>
      <c r="F41">
        <f t="shared" si="3"/>
        <v>6.72</v>
      </c>
      <c r="J41" s="30"/>
      <c r="K41" s="4">
        <v>8</v>
      </c>
      <c r="L41" s="4">
        <v>102</v>
      </c>
      <c r="M41" s="4">
        <v>3.91</v>
      </c>
      <c r="N41" s="4">
        <v>1</v>
      </c>
      <c r="O41" s="4">
        <f t="shared" si="0"/>
        <v>1.18</v>
      </c>
      <c r="R41" s="34"/>
      <c r="S41" s="4">
        <v>5</v>
      </c>
      <c r="T41" s="4">
        <v>172</v>
      </c>
      <c r="U41">
        <v>4.12</v>
      </c>
      <c r="V41" s="4">
        <v>1</v>
      </c>
      <c r="W41" s="4">
        <f t="shared" si="1"/>
        <v>2.2000000000000002</v>
      </c>
    </row>
    <row r="42" spans="1:23">
      <c r="A42" s="28"/>
      <c r="B42" s="3">
        <v>8</v>
      </c>
      <c r="C42">
        <v>40</v>
      </c>
      <c r="D42" s="4">
        <v>0</v>
      </c>
      <c r="E42">
        <v>1</v>
      </c>
      <c r="F42">
        <f t="shared" si="3"/>
        <v>1.18</v>
      </c>
      <c r="J42" s="30"/>
      <c r="K42" s="4">
        <v>8</v>
      </c>
      <c r="L42" s="4">
        <v>103</v>
      </c>
      <c r="M42" s="4">
        <v>3.91</v>
      </c>
      <c r="N42" s="4">
        <v>1</v>
      </c>
      <c r="O42" s="4">
        <f t="shared" si="0"/>
        <v>1.18</v>
      </c>
      <c r="R42" s="34"/>
      <c r="S42" s="4">
        <v>5</v>
      </c>
      <c r="T42" s="4">
        <v>173</v>
      </c>
      <c r="U42">
        <v>4.12</v>
      </c>
      <c r="V42" s="4">
        <v>1</v>
      </c>
      <c r="W42" s="4">
        <f t="shared" si="1"/>
        <v>2.2000000000000002</v>
      </c>
    </row>
    <row r="43" spans="1:23">
      <c r="A43" s="28"/>
      <c r="B43" s="3">
        <v>8</v>
      </c>
      <c r="C43">
        <v>41</v>
      </c>
      <c r="D43" s="4">
        <v>0</v>
      </c>
      <c r="E43">
        <v>1</v>
      </c>
      <c r="F43">
        <f t="shared" si="3"/>
        <v>1.18</v>
      </c>
      <c r="J43" s="30"/>
      <c r="K43" s="4">
        <v>9</v>
      </c>
      <c r="L43" s="4">
        <v>104</v>
      </c>
      <c r="M43" s="4">
        <v>10.48</v>
      </c>
      <c r="N43" s="4">
        <v>1</v>
      </c>
      <c r="O43" s="4">
        <f t="shared" si="0"/>
        <v>3.11</v>
      </c>
      <c r="R43" s="34"/>
      <c r="S43" s="4">
        <v>6</v>
      </c>
      <c r="T43" s="4">
        <v>174</v>
      </c>
      <c r="U43">
        <v>2.36</v>
      </c>
      <c r="V43" s="4">
        <v>1</v>
      </c>
      <c r="W43" s="4">
        <f t="shared" si="1"/>
        <v>1.49</v>
      </c>
    </row>
    <row r="44" spans="1:23">
      <c r="A44" s="28"/>
      <c r="B44" s="3">
        <v>8</v>
      </c>
      <c r="C44">
        <v>42</v>
      </c>
      <c r="D44" s="4">
        <v>0</v>
      </c>
      <c r="E44">
        <v>1</v>
      </c>
      <c r="F44">
        <f t="shared" si="3"/>
        <v>1.18</v>
      </c>
      <c r="J44" s="30"/>
      <c r="K44" s="4">
        <v>9</v>
      </c>
      <c r="L44" s="4">
        <v>105</v>
      </c>
      <c r="M44" s="4">
        <v>10.48</v>
      </c>
      <c r="N44" s="4">
        <v>1</v>
      </c>
      <c r="O44" s="4">
        <f t="shared" si="0"/>
        <v>3.11</v>
      </c>
      <c r="R44" s="34"/>
      <c r="S44" s="4">
        <v>6</v>
      </c>
      <c r="T44" s="4">
        <v>175</v>
      </c>
      <c r="U44">
        <v>2.36</v>
      </c>
      <c r="V44" s="4">
        <v>1</v>
      </c>
      <c r="W44" s="4">
        <f t="shared" si="1"/>
        <v>1.49</v>
      </c>
    </row>
    <row r="45" spans="1:23">
      <c r="A45" s="28"/>
      <c r="B45" s="3">
        <v>9</v>
      </c>
      <c r="C45">
        <v>43</v>
      </c>
      <c r="D45" s="4">
        <v>0</v>
      </c>
      <c r="E45">
        <v>1</v>
      </c>
      <c r="F45">
        <f t="shared" si="3"/>
        <v>3.11</v>
      </c>
      <c r="J45" s="30"/>
      <c r="K45" s="4">
        <v>9</v>
      </c>
      <c r="L45" s="4">
        <v>106</v>
      </c>
      <c r="M45" s="4">
        <v>10.48</v>
      </c>
      <c r="N45" s="4">
        <v>1</v>
      </c>
      <c r="O45" s="4">
        <f t="shared" si="0"/>
        <v>3.11</v>
      </c>
      <c r="R45" s="34"/>
      <c r="S45" s="4">
        <v>6</v>
      </c>
      <c r="T45" s="4">
        <v>176</v>
      </c>
      <c r="U45">
        <v>2.36</v>
      </c>
      <c r="V45" s="4">
        <v>1</v>
      </c>
      <c r="W45" s="4">
        <f t="shared" si="1"/>
        <v>1.49</v>
      </c>
    </row>
    <row r="46" spans="1:23">
      <c r="A46" s="28"/>
      <c r="B46" s="3">
        <v>9</v>
      </c>
      <c r="C46">
        <v>44</v>
      </c>
      <c r="D46" s="4">
        <v>0</v>
      </c>
      <c r="E46">
        <v>1</v>
      </c>
      <c r="F46">
        <f t="shared" si="3"/>
        <v>3.11</v>
      </c>
      <c r="J46" s="29">
        <v>45481</v>
      </c>
      <c r="K46" s="4">
        <v>1</v>
      </c>
      <c r="L46" s="4">
        <v>107</v>
      </c>
      <c r="M46" s="4">
        <v>0.75</v>
      </c>
      <c r="N46" s="4">
        <v>1</v>
      </c>
      <c r="O46" s="4">
        <f t="shared" si="0"/>
        <v>1.38</v>
      </c>
      <c r="R46" s="34"/>
      <c r="S46" s="4">
        <v>7</v>
      </c>
      <c r="T46" s="4">
        <v>177</v>
      </c>
      <c r="U46">
        <v>7.26</v>
      </c>
      <c r="V46" s="4">
        <v>1</v>
      </c>
      <c r="W46" s="4">
        <f t="shared" si="1"/>
        <v>6.72</v>
      </c>
    </row>
    <row r="47" spans="1:23">
      <c r="A47" s="28"/>
      <c r="B47" s="3">
        <v>9</v>
      </c>
      <c r="C47">
        <v>45</v>
      </c>
      <c r="D47" s="4">
        <v>0</v>
      </c>
      <c r="E47">
        <v>1</v>
      </c>
      <c r="F47">
        <f t="shared" si="3"/>
        <v>3.11</v>
      </c>
      <c r="J47" s="31"/>
      <c r="K47" s="4">
        <v>1</v>
      </c>
      <c r="L47" s="4">
        <v>108</v>
      </c>
      <c r="M47" s="4">
        <v>0.75</v>
      </c>
      <c r="N47" s="4">
        <v>1</v>
      </c>
      <c r="O47" s="4">
        <f t="shared" si="0"/>
        <v>1.38</v>
      </c>
      <c r="R47" s="34"/>
      <c r="S47" s="4">
        <v>7</v>
      </c>
      <c r="T47" s="4">
        <v>178</v>
      </c>
      <c r="U47">
        <v>7.26</v>
      </c>
      <c r="V47" s="4">
        <v>1</v>
      </c>
      <c r="W47" s="4">
        <f t="shared" si="1"/>
        <v>6.72</v>
      </c>
    </row>
    <row r="48" spans="1:23" ht="15" customHeight="1">
      <c r="A48" s="29">
        <v>45471</v>
      </c>
      <c r="B48" s="3">
        <v>1</v>
      </c>
      <c r="C48">
        <v>46</v>
      </c>
      <c r="D48" s="4">
        <v>46.78</v>
      </c>
      <c r="E48">
        <v>1</v>
      </c>
      <c r="F48">
        <f t="shared" si="3"/>
        <v>1.38</v>
      </c>
      <c r="J48" s="31"/>
      <c r="K48" s="4">
        <v>1</v>
      </c>
      <c r="L48" s="4">
        <v>109</v>
      </c>
      <c r="M48" s="4">
        <v>0.75</v>
      </c>
      <c r="N48" s="4">
        <v>1</v>
      </c>
      <c r="O48" s="4">
        <f t="shared" si="0"/>
        <v>1.38</v>
      </c>
      <c r="R48" s="34"/>
      <c r="S48" s="4">
        <v>7</v>
      </c>
      <c r="T48" s="4">
        <v>179</v>
      </c>
      <c r="U48">
        <v>7.26</v>
      </c>
      <c r="V48" s="4">
        <v>1</v>
      </c>
      <c r="W48" s="4">
        <f t="shared" si="1"/>
        <v>6.72</v>
      </c>
    </row>
    <row r="49" spans="1:23">
      <c r="A49" s="29"/>
      <c r="B49" s="3">
        <v>1</v>
      </c>
      <c r="C49">
        <v>47</v>
      </c>
      <c r="D49" s="4">
        <v>46.78</v>
      </c>
      <c r="E49">
        <v>1</v>
      </c>
      <c r="F49">
        <f t="shared" si="3"/>
        <v>1.38</v>
      </c>
      <c r="J49" s="31"/>
      <c r="K49" s="4">
        <v>2</v>
      </c>
      <c r="L49" s="4">
        <v>110</v>
      </c>
      <c r="M49" s="4">
        <v>0.71</v>
      </c>
      <c r="N49" s="4">
        <v>1</v>
      </c>
      <c r="O49" s="4">
        <f t="shared" si="0"/>
        <v>1.48</v>
      </c>
      <c r="R49" s="34"/>
      <c r="S49" s="4">
        <v>8</v>
      </c>
      <c r="T49" s="4">
        <v>180</v>
      </c>
      <c r="U49">
        <v>3.23</v>
      </c>
      <c r="V49" s="4">
        <v>1</v>
      </c>
      <c r="W49" s="4">
        <f t="shared" si="1"/>
        <v>1.18</v>
      </c>
    </row>
    <row r="50" spans="1:23">
      <c r="A50" s="29"/>
      <c r="B50" s="3">
        <v>2</v>
      </c>
      <c r="C50">
        <v>48</v>
      </c>
      <c r="D50" s="4">
        <v>46.5</v>
      </c>
      <c r="E50">
        <v>1</v>
      </c>
      <c r="F50">
        <f t="shared" si="3"/>
        <v>1.48</v>
      </c>
      <c r="J50" s="31"/>
      <c r="K50" s="4">
        <v>2</v>
      </c>
      <c r="L50" s="4">
        <v>111</v>
      </c>
      <c r="M50" s="4">
        <v>0.71</v>
      </c>
      <c r="N50" s="4">
        <v>1</v>
      </c>
      <c r="O50" s="4">
        <f t="shared" si="0"/>
        <v>1.48</v>
      </c>
      <c r="R50" s="34"/>
      <c r="S50" s="4">
        <v>8</v>
      </c>
      <c r="T50" s="4">
        <v>181</v>
      </c>
      <c r="U50">
        <v>3.23</v>
      </c>
      <c r="V50" s="4">
        <v>1</v>
      </c>
      <c r="W50" s="4">
        <f t="shared" si="1"/>
        <v>1.18</v>
      </c>
    </row>
    <row r="51" spans="1:23">
      <c r="A51" s="29"/>
      <c r="B51" s="3">
        <v>2</v>
      </c>
      <c r="C51">
        <v>49</v>
      </c>
      <c r="D51" s="4">
        <v>46.5</v>
      </c>
      <c r="E51">
        <v>1</v>
      </c>
      <c r="F51">
        <f t="shared" si="3"/>
        <v>1.48</v>
      </c>
      <c r="H51" s="2"/>
      <c r="J51" s="31"/>
      <c r="K51" s="4">
        <v>2</v>
      </c>
      <c r="L51" s="4">
        <v>112</v>
      </c>
      <c r="M51" s="4">
        <v>0.71</v>
      </c>
      <c r="N51" s="4">
        <v>1</v>
      </c>
      <c r="O51" s="4">
        <f t="shared" si="0"/>
        <v>1.48</v>
      </c>
      <c r="R51" s="34"/>
      <c r="S51" s="4">
        <v>8</v>
      </c>
      <c r="T51" s="4">
        <v>182</v>
      </c>
      <c r="U51">
        <v>3.23</v>
      </c>
      <c r="V51" s="4">
        <v>1</v>
      </c>
      <c r="W51" s="4">
        <f t="shared" si="1"/>
        <v>1.18</v>
      </c>
    </row>
    <row r="52" spans="1:23">
      <c r="A52" s="29"/>
      <c r="B52" s="3">
        <v>3</v>
      </c>
      <c r="C52">
        <v>50</v>
      </c>
      <c r="D52" s="4">
        <v>51.14</v>
      </c>
      <c r="E52">
        <v>1</v>
      </c>
      <c r="F52">
        <f t="shared" si="3"/>
        <v>2.12</v>
      </c>
      <c r="H52" s="2"/>
      <c r="J52" s="31"/>
      <c r="K52" s="4">
        <v>2</v>
      </c>
      <c r="L52" s="4">
        <v>113</v>
      </c>
      <c r="M52" s="4">
        <v>0.71</v>
      </c>
      <c r="N52" s="4">
        <v>1</v>
      </c>
      <c r="O52" s="4">
        <f t="shared" si="0"/>
        <v>1.48</v>
      </c>
      <c r="R52" s="34"/>
      <c r="S52" s="4">
        <v>9</v>
      </c>
      <c r="T52" s="4">
        <v>183</v>
      </c>
      <c r="U52">
        <v>4.43</v>
      </c>
      <c r="V52" s="4">
        <v>1</v>
      </c>
      <c r="W52" s="4">
        <f t="shared" si="1"/>
        <v>3.11</v>
      </c>
    </row>
    <row r="53" spans="1:23" ht="15" customHeight="1">
      <c r="A53" s="29">
        <v>45471</v>
      </c>
      <c r="B53" s="4">
        <v>4</v>
      </c>
      <c r="C53" s="4">
        <v>51</v>
      </c>
      <c r="D53" s="4">
        <v>48.55</v>
      </c>
      <c r="E53" s="4">
        <v>1</v>
      </c>
      <c r="F53">
        <f t="shared" si="3"/>
        <v>1.32</v>
      </c>
      <c r="H53" s="2"/>
      <c r="J53" s="31"/>
      <c r="K53" s="4">
        <v>3</v>
      </c>
      <c r="L53" s="4">
        <v>114</v>
      </c>
      <c r="M53" s="4">
        <v>0.85</v>
      </c>
      <c r="N53" s="4">
        <v>1</v>
      </c>
      <c r="O53" s="4">
        <f t="shared" si="0"/>
        <v>2.12</v>
      </c>
      <c r="R53" s="34"/>
      <c r="S53" s="4">
        <v>9</v>
      </c>
      <c r="T53" s="4">
        <v>184</v>
      </c>
      <c r="U53">
        <v>4.43</v>
      </c>
      <c r="V53" s="4">
        <v>1</v>
      </c>
      <c r="W53" s="4">
        <f t="shared" si="1"/>
        <v>3.11</v>
      </c>
    </row>
    <row r="54" spans="1:23">
      <c r="A54" s="29"/>
      <c r="B54" s="5">
        <v>4</v>
      </c>
      <c r="C54" s="5">
        <v>52</v>
      </c>
      <c r="D54" s="4">
        <v>48.55</v>
      </c>
      <c r="E54">
        <v>1</v>
      </c>
      <c r="F54">
        <f t="shared" si="3"/>
        <v>1.32</v>
      </c>
      <c r="H54" s="2"/>
      <c r="J54" s="31"/>
      <c r="K54" s="4">
        <v>3</v>
      </c>
      <c r="L54" s="4">
        <v>115</v>
      </c>
      <c r="M54" s="4">
        <v>0.85</v>
      </c>
      <c r="N54" s="4">
        <v>1</v>
      </c>
      <c r="O54" s="4">
        <f t="shared" si="0"/>
        <v>2.12</v>
      </c>
      <c r="R54" s="34"/>
      <c r="S54" s="4">
        <v>9</v>
      </c>
      <c r="T54" s="4">
        <v>185</v>
      </c>
      <c r="U54">
        <v>4.43</v>
      </c>
      <c r="V54" s="4">
        <v>1</v>
      </c>
      <c r="W54" s="4">
        <f t="shared" si="1"/>
        <v>3.11</v>
      </c>
    </row>
    <row r="55" spans="1:23">
      <c r="A55" s="29"/>
      <c r="B55">
        <v>5</v>
      </c>
      <c r="C55">
        <v>53</v>
      </c>
      <c r="D55" s="4">
        <v>51.05</v>
      </c>
      <c r="E55">
        <v>1</v>
      </c>
      <c r="F55">
        <f t="shared" si="3"/>
        <v>2.2000000000000002</v>
      </c>
      <c r="H55" s="2"/>
      <c r="J55" s="31"/>
      <c r="K55" s="4">
        <v>4</v>
      </c>
      <c r="L55" s="4">
        <v>116</v>
      </c>
      <c r="M55" s="4">
        <v>0.69</v>
      </c>
      <c r="N55" s="4">
        <v>1</v>
      </c>
      <c r="O55" s="4">
        <f t="shared" si="0"/>
        <v>1.32</v>
      </c>
      <c r="R55" s="35">
        <v>45491</v>
      </c>
      <c r="S55" s="4">
        <v>1</v>
      </c>
      <c r="T55" s="4">
        <v>186</v>
      </c>
      <c r="U55">
        <v>0.82</v>
      </c>
      <c r="V55" s="4">
        <v>1</v>
      </c>
      <c r="W55" s="4">
        <f t="shared" si="1"/>
        <v>1.38</v>
      </c>
    </row>
    <row r="56" spans="1:23">
      <c r="A56" s="29"/>
      <c r="B56">
        <v>5</v>
      </c>
      <c r="C56">
        <v>54</v>
      </c>
      <c r="D56" s="4">
        <v>51.05</v>
      </c>
      <c r="E56">
        <v>1</v>
      </c>
      <c r="F56">
        <f t="shared" si="3"/>
        <v>2.2000000000000002</v>
      </c>
      <c r="H56" s="2"/>
      <c r="J56" s="31"/>
      <c r="K56" s="4">
        <v>4</v>
      </c>
      <c r="L56" s="4">
        <v>117</v>
      </c>
      <c r="M56" s="4">
        <v>0.69</v>
      </c>
      <c r="N56" s="4">
        <v>1</v>
      </c>
      <c r="O56" s="4">
        <f t="shared" si="0"/>
        <v>1.32</v>
      </c>
      <c r="R56" s="36"/>
      <c r="S56" s="4">
        <v>1</v>
      </c>
      <c r="T56" s="4">
        <v>187</v>
      </c>
      <c r="U56">
        <v>0.82</v>
      </c>
      <c r="V56" s="4">
        <v>1</v>
      </c>
      <c r="W56" s="4">
        <f t="shared" si="1"/>
        <v>1.38</v>
      </c>
    </row>
    <row r="57" spans="1:23">
      <c r="A57" s="29"/>
      <c r="B57">
        <v>6</v>
      </c>
      <c r="C57">
        <v>55</v>
      </c>
      <c r="D57" s="4">
        <v>39.76</v>
      </c>
      <c r="E57">
        <v>1</v>
      </c>
      <c r="F57">
        <f t="shared" si="3"/>
        <v>1.49</v>
      </c>
      <c r="H57" s="2"/>
      <c r="J57" s="31"/>
      <c r="K57" s="4">
        <v>4</v>
      </c>
      <c r="L57" s="4">
        <v>118</v>
      </c>
      <c r="M57" s="4">
        <v>0.69</v>
      </c>
      <c r="N57" s="4">
        <v>1</v>
      </c>
      <c r="O57" s="4">
        <f t="shared" si="0"/>
        <v>1.32</v>
      </c>
      <c r="R57" s="36"/>
      <c r="S57" s="4">
        <v>2</v>
      </c>
      <c r="T57" s="4">
        <v>188</v>
      </c>
      <c r="U57">
        <v>0.74</v>
      </c>
      <c r="V57" s="4">
        <v>1</v>
      </c>
      <c r="W57" s="4">
        <f t="shared" si="1"/>
        <v>1.48</v>
      </c>
    </row>
    <row r="58" spans="1:23">
      <c r="A58" s="29"/>
      <c r="B58" s="4">
        <v>6</v>
      </c>
      <c r="C58" s="4">
        <v>56</v>
      </c>
      <c r="D58" s="4">
        <v>39.76</v>
      </c>
      <c r="E58" s="4">
        <v>1</v>
      </c>
      <c r="F58">
        <f t="shared" si="3"/>
        <v>1.49</v>
      </c>
      <c r="H58" s="2"/>
      <c r="J58" s="31"/>
      <c r="K58" s="4">
        <v>5</v>
      </c>
      <c r="L58" s="4">
        <v>119</v>
      </c>
      <c r="M58" s="4">
        <v>0.87</v>
      </c>
      <c r="N58" s="4">
        <v>1</v>
      </c>
      <c r="O58" s="4">
        <f t="shared" si="0"/>
        <v>2.2000000000000002</v>
      </c>
      <c r="R58" s="36"/>
      <c r="S58" s="4">
        <v>3</v>
      </c>
      <c r="T58" s="4">
        <v>189</v>
      </c>
      <c r="U58">
        <v>0.85</v>
      </c>
      <c r="V58" s="4">
        <v>1</v>
      </c>
      <c r="W58" s="4">
        <f t="shared" si="1"/>
        <v>2.12</v>
      </c>
    </row>
    <row r="59" spans="1:23">
      <c r="A59" s="29"/>
      <c r="B59" s="4">
        <v>7</v>
      </c>
      <c r="C59" s="4">
        <v>57</v>
      </c>
      <c r="D59" s="4">
        <v>53.32</v>
      </c>
      <c r="E59" s="4">
        <v>1</v>
      </c>
      <c r="F59">
        <f t="shared" si="3"/>
        <v>6.72</v>
      </c>
      <c r="H59" s="2"/>
      <c r="J59" s="31"/>
      <c r="K59" s="4">
        <v>5</v>
      </c>
      <c r="L59" s="4">
        <v>120</v>
      </c>
      <c r="M59" s="4">
        <v>0.87</v>
      </c>
      <c r="N59" s="4">
        <v>1</v>
      </c>
      <c r="O59" s="4">
        <f t="shared" si="0"/>
        <v>2.2000000000000002</v>
      </c>
      <c r="R59" s="36"/>
      <c r="S59" s="4">
        <v>3</v>
      </c>
      <c r="T59" s="4">
        <v>190</v>
      </c>
      <c r="U59">
        <v>0.85</v>
      </c>
      <c r="V59" s="4">
        <v>1</v>
      </c>
      <c r="W59" s="4">
        <f t="shared" si="1"/>
        <v>2.12</v>
      </c>
    </row>
    <row r="60" spans="1:23">
      <c r="A60" s="29"/>
      <c r="B60">
        <v>7</v>
      </c>
      <c r="C60">
        <v>58</v>
      </c>
      <c r="D60" s="4">
        <v>53.32</v>
      </c>
      <c r="E60">
        <v>1</v>
      </c>
      <c r="F60">
        <f t="shared" si="3"/>
        <v>6.72</v>
      </c>
      <c r="J60" s="31"/>
      <c r="K60" s="4">
        <v>5</v>
      </c>
      <c r="L60" s="4">
        <v>121</v>
      </c>
      <c r="M60" s="4">
        <v>0.87</v>
      </c>
      <c r="N60" s="4">
        <v>1</v>
      </c>
      <c r="O60" s="4">
        <f t="shared" si="0"/>
        <v>2.2000000000000002</v>
      </c>
      <c r="R60" s="36"/>
      <c r="S60" s="4">
        <v>4</v>
      </c>
      <c r="T60" s="4">
        <v>191</v>
      </c>
      <c r="U60">
        <v>0.74</v>
      </c>
      <c r="V60" s="4">
        <v>1</v>
      </c>
      <c r="W60" s="4">
        <f t="shared" si="1"/>
        <v>1.32</v>
      </c>
    </row>
    <row r="61" spans="1:23">
      <c r="A61" s="29"/>
      <c r="B61">
        <v>8</v>
      </c>
      <c r="C61">
        <v>59</v>
      </c>
      <c r="D61" s="4">
        <v>48.3</v>
      </c>
      <c r="E61">
        <v>1</v>
      </c>
      <c r="F61">
        <f t="shared" si="3"/>
        <v>1.18</v>
      </c>
      <c r="J61" s="31"/>
      <c r="K61" s="4">
        <v>6</v>
      </c>
      <c r="L61" s="4">
        <v>122</v>
      </c>
      <c r="M61" s="4">
        <v>0.62</v>
      </c>
      <c r="N61" s="4">
        <v>1</v>
      </c>
      <c r="O61" s="4">
        <f t="shared" si="0"/>
        <v>1.49</v>
      </c>
      <c r="R61" s="36"/>
      <c r="S61" s="4">
        <v>4</v>
      </c>
      <c r="T61" s="4">
        <v>192</v>
      </c>
      <c r="U61">
        <v>0.74</v>
      </c>
      <c r="V61" s="4">
        <v>1</v>
      </c>
      <c r="W61" s="4">
        <f t="shared" si="1"/>
        <v>1.32</v>
      </c>
    </row>
    <row r="62" spans="1:23">
      <c r="A62" s="29"/>
      <c r="B62" s="4">
        <v>8</v>
      </c>
      <c r="C62" s="4">
        <v>60</v>
      </c>
      <c r="D62" s="4">
        <v>48.3</v>
      </c>
      <c r="E62" s="4">
        <v>1</v>
      </c>
      <c r="F62">
        <f t="shared" si="3"/>
        <v>1.18</v>
      </c>
      <c r="J62" s="31"/>
      <c r="K62" s="4">
        <v>6</v>
      </c>
      <c r="L62" s="4">
        <v>123</v>
      </c>
      <c r="M62" s="4">
        <v>0.62</v>
      </c>
      <c r="N62" s="4">
        <v>1</v>
      </c>
      <c r="O62" s="4">
        <f t="shared" si="0"/>
        <v>1.49</v>
      </c>
      <c r="R62" s="36"/>
      <c r="S62" s="4">
        <v>5</v>
      </c>
      <c r="T62" s="4">
        <v>193</v>
      </c>
      <c r="U62">
        <v>0.91</v>
      </c>
      <c r="V62" s="4">
        <v>1</v>
      </c>
      <c r="W62" s="4">
        <f t="shared" si="1"/>
        <v>2.2000000000000002</v>
      </c>
    </row>
    <row r="63" spans="1:23">
      <c r="A63" s="29"/>
      <c r="B63" s="4">
        <v>9</v>
      </c>
      <c r="C63" s="4">
        <v>61</v>
      </c>
      <c r="D63" s="4">
        <v>58.85</v>
      </c>
      <c r="E63" s="4">
        <v>1</v>
      </c>
      <c r="F63">
        <f t="shared" si="3"/>
        <v>3.11</v>
      </c>
      <c r="J63" s="31"/>
      <c r="K63" s="4">
        <v>6</v>
      </c>
      <c r="L63" s="4">
        <v>124</v>
      </c>
      <c r="M63" s="4">
        <v>0.62</v>
      </c>
      <c r="N63" s="4">
        <v>1</v>
      </c>
      <c r="O63" s="4">
        <f t="shared" si="0"/>
        <v>1.49</v>
      </c>
      <c r="R63" s="36"/>
      <c r="S63" s="4">
        <v>5</v>
      </c>
      <c r="T63" s="4">
        <v>194</v>
      </c>
      <c r="U63">
        <v>0.91</v>
      </c>
      <c r="V63" s="4">
        <v>1</v>
      </c>
      <c r="W63" s="4">
        <f t="shared" si="1"/>
        <v>2.2000000000000002</v>
      </c>
    </row>
    <row r="64" spans="1:23">
      <c r="A64" s="29"/>
      <c r="B64" s="4">
        <v>9</v>
      </c>
      <c r="C64" s="4">
        <v>62</v>
      </c>
      <c r="D64" s="4">
        <v>58.85</v>
      </c>
      <c r="E64" s="4">
        <v>1</v>
      </c>
      <c r="F64">
        <f t="shared" si="3"/>
        <v>3.11</v>
      </c>
      <c r="J64" s="31"/>
      <c r="K64" s="4">
        <v>7</v>
      </c>
      <c r="L64" s="4">
        <v>125</v>
      </c>
      <c r="M64" s="4">
        <v>1.03</v>
      </c>
      <c r="N64" s="4">
        <v>1</v>
      </c>
      <c r="O64" s="4">
        <f t="shared" si="0"/>
        <v>6.72</v>
      </c>
      <c r="R64" s="36"/>
      <c r="S64" s="4">
        <v>5</v>
      </c>
      <c r="T64" s="4">
        <v>195</v>
      </c>
      <c r="U64">
        <v>0.91</v>
      </c>
      <c r="V64" s="4">
        <v>1</v>
      </c>
      <c r="W64" s="4">
        <f t="shared" si="1"/>
        <v>2.2000000000000002</v>
      </c>
    </row>
    <row r="65" spans="1:23">
      <c r="A65" s="29"/>
      <c r="B65" s="4">
        <v>9</v>
      </c>
      <c r="C65" s="4">
        <v>63</v>
      </c>
      <c r="D65" s="4">
        <v>58.85</v>
      </c>
      <c r="E65" s="4">
        <v>1</v>
      </c>
      <c r="F65">
        <f t="shared" si="3"/>
        <v>3.11</v>
      </c>
      <c r="J65" s="31"/>
      <c r="K65" s="4">
        <v>7</v>
      </c>
      <c r="L65" s="4">
        <v>126</v>
      </c>
      <c r="M65" s="4">
        <v>1.03</v>
      </c>
      <c r="N65" s="4">
        <v>1</v>
      </c>
      <c r="O65" s="4">
        <f t="shared" si="0"/>
        <v>6.72</v>
      </c>
      <c r="R65" s="36"/>
      <c r="S65" s="4">
        <v>6</v>
      </c>
      <c r="T65" s="4">
        <v>196</v>
      </c>
      <c r="U65">
        <v>0.67</v>
      </c>
      <c r="V65" s="4">
        <v>1</v>
      </c>
      <c r="W65" s="4">
        <f t="shared" si="1"/>
        <v>1.49</v>
      </c>
    </row>
    <row r="66" spans="1:23">
      <c r="J66" s="31"/>
      <c r="K66" s="4">
        <v>7</v>
      </c>
      <c r="L66" s="4">
        <v>127</v>
      </c>
      <c r="M66" s="4">
        <v>1.03</v>
      </c>
      <c r="N66" s="4">
        <v>1</v>
      </c>
      <c r="O66" s="4">
        <f t="shared" si="0"/>
        <v>6.72</v>
      </c>
      <c r="R66" s="36"/>
      <c r="S66" s="4">
        <v>6</v>
      </c>
      <c r="T66" s="4">
        <v>197</v>
      </c>
      <c r="U66">
        <v>0.67</v>
      </c>
      <c r="V66" s="4">
        <v>1</v>
      </c>
      <c r="W66" s="4">
        <f t="shared" si="1"/>
        <v>1.49</v>
      </c>
    </row>
    <row r="67" spans="1:23">
      <c r="J67" s="31"/>
      <c r="K67" s="4">
        <v>8</v>
      </c>
      <c r="L67" s="4">
        <v>128</v>
      </c>
      <c r="M67" s="4">
        <v>0.68</v>
      </c>
      <c r="N67" s="4">
        <v>1</v>
      </c>
      <c r="O67" s="4">
        <f t="shared" si="0"/>
        <v>1.18</v>
      </c>
      <c r="R67" s="36"/>
      <c r="S67" s="4">
        <v>7</v>
      </c>
      <c r="T67" s="4">
        <v>198</v>
      </c>
      <c r="U67">
        <v>0.99</v>
      </c>
      <c r="V67" s="4">
        <v>1</v>
      </c>
      <c r="W67" s="4">
        <f t="shared" si="1"/>
        <v>6.72</v>
      </c>
    </row>
    <row r="68" spans="1:23">
      <c r="J68" s="31"/>
      <c r="K68" s="4">
        <v>8</v>
      </c>
      <c r="L68" s="4">
        <v>129</v>
      </c>
      <c r="M68" s="4">
        <v>0.68</v>
      </c>
      <c r="N68" s="4">
        <v>1</v>
      </c>
      <c r="O68" s="4">
        <f t="shared" ref="O68:O72" si="4">IF(K68=1,1.38, IF(K68=2,1.48,IF(K68=3,2.12,IF(K68=4,1.32,IF(K68=5,2.2,IF(K68=6,1.49,IF(K68=7,6.72,IF(K68=8,1.18,IF(K68=9,3.11,"")))))))))</f>
        <v>1.18</v>
      </c>
      <c r="R68" s="36"/>
      <c r="S68" s="4">
        <v>7</v>
      </c>
      <c r="T68" s="4">
        <v>199</v>
      </c>
      <c r="U68">
        <v>0.99</v>
      </c>
      <c r="V68" s="4">
        <v>1</v>
      </c>
      <c r="W68" s="4">
        <f t="shared" ref="W68:W74" si="5">IF(S68=1,1.38,IF(S68=2,1.48,IF(S68=3,2.12,IF(S68=4,1.32,IF(S68=5,2.2,IF(S68=6,1.49,IF(S68=7,6.72,IF(S68=8,1.18,IF(S68=9,3.11,"")))))))))</f>
        <v>6.72</v>
      </c>
    </row>
    <row r="69" spans="1:23">
      <c r="J69" s="31"/>
      <c r="K69" s="4">
        <v>8</v>
      </c>
      <c r="L69" s="4">
        <v>130</v>
      </c>
      <c r="M69" s="4">
        <v>0.68</v>
      </c>
      <c r="N69" s="4">
        <v>1</v>
      </c>
      <c r="O69" s="4">
        <f t="shared" si="4"/>
        <v>1.18</v>
      </c>
      <c r="R69" s="36"/>
      <c r="S69" s="4">
        <v>7</v>
      </c>
      <c r="T69" s="4">
        <v>200</v>
      </c>
      <c r="U69">
        <v>0.99</v>
      </c>
      <c r="V69" s="4">
        <v>1</v>
      </c>
      <c r="W69" s="4">
        <f t="shared" si="5"/>
        <v>6.72</v>
      </c>
    </row>
    <row r="70" spans="1:23">
      <c r="J70" s="31"/>
      <c r="K70" s="4">
        <v>9</v>
      </c>
      <c r="L70" s="4">
        <v>131</v>
      </c>
      <c r="M70" s="4">
        <v>0.98</v>
      </c>
      <c r="N70" s="4">
        <v>1</v>
      </c>
      <c r="O70" s="4">
        <f t="shared" si="4"/>
        <v>3.11</v>
      </c>
      <c r="R70" s="36"/>
      <c r="S70" s="4">
        <v>7</v>
      </c>
      <c r="T70" s="4">
        <v>201</v>
      </c>
      <c r="U70">
        <v>0.99</v>
      </c>
      <c r="V70" s="4">
        <v>1</v>
      </c>
      <c r="W70" s="4">
        <f t="shared" si="5"/>
        <v>6.72</v>
      </c>
    </row>
    <row r="71" spans="1:23">
      <c r="J71" s="31"/>
      <c r="K71" s="4">
        <v>9</v>
      </c>
      <c r="L71" s="4">
        <v>132</v>
      </c>
      <c r="M71" s="4">
        <v>0.98</v>
      </c>
      <c r="N71" s="4">
        <v>1</v>
      </c>
      <c r="O71" s="4">
        <f t="shared" si="4"/>
        <v>3.11</v>
      </c>
      <c r="R71" s="36"/>
      <c r="S71" s="4">
        <v>8</v>
      </c>
      <c r="T71" s="4">
        <v>202</v>
      </c>
      <c r="U71">
        <v>0.76</v>
      </c>
      <c r="V71" s="4">
        <v>1</v>
      </c>
      <c r="W71" s="4">
        <f t="shared" si="5"/>
        <v>1.18</v>
      </c>
    </row>
    <row r="72" spans="1:23">
      <c r="J72" s="31"/>
      <c r="K72" s="4">
        <v>9</v>
      </c>
      <c r="L72" s="4">
        <v>133</v>
      </c>
      <c r="M72" s="4">
        <v>0.98</v>
      </c>
      <c r="N72" s="4">
        <v>1</v>
      </c>
      <c r="O72" s="4">
        <f t="shared" si="4"/>
        <v>3.11</v>
      </c>
      <c r="R72" s="36"/>
      <c r="S72" s="4">
        <v>8</v>
      </c>
      <c r="T72" s="4">
        <v>203</v>
      </c>
      <c r="U72">
        <v>0.76</v>
      </c>
      <c r="V72" s="4">
        <v>1</v>
      </c>
      <c r="W72" s="4">
        <f t="shared" si="5"/>
        <v>1.18</v>
      </c>
    </row>
    <row r="73" spans="1:23">
      <c r="R73" s="36"/>
      <c r="S73" s="4">
        <v>9</v>
      </c>
      <c r="T73" s="4">
        <v>204</v>
      </c>
      <c r="U73">
        <v>0.84</v>
      </c>
      <c r="V73" s="4">
        <v>1</v>
      </c>
      <c r="W73" s="4">
        <f t="shared" si="5"/>
        <v>3.11</v>
      </c>
    </row>
    <row r="74" spans="1:23">
      <c r="R74" s="36"/>
      <c r="S74" s="4">
        <v>9</v>
      </c>
      <c r="T74" s="4">
        <v>205</v>
      </c>
      <c r="U74">
        <v>0.84</v>
      </c>
      <c r="V74" s="4">
        <v>1</v>
      </c>
      <c r="W74" s="4">
        <f t="shared" si="5"/>
        <v>3.11</v>
      </c>
    </row>
  </sheetData>
  <mergeCells count="11">
    <mergeCell ref="R3:R27"/>
    <mergeCell ref="J3:J24"/>
    <mergeCell ref="J25:J39"/>
    <mergeCell ref="R28:R54"/>
    <mergeCell ref="R55:R74"/>
    <mergeCell ref="A3:A21"/>
    <mergeCell ref="A22:A47"/>
    <mergeCell ref="A48:A52"/>
    <mergeCell ref="A53:A65"/>
    <mergeCell ref="J40:J45"/>
    <mergeCell ref="J46:J7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8399-2A3C-48F7-9D03-D0B00E844FA7}">
  <dimension ref="A1:Z64"/>
  <sheetViews>
    <sheetView topLeftCell="A13" workbookViewId="0">
      <selection activeCell="A2" sqref="A2"/>
    </sheetView>
  </sheetViews>
  <sheetFormatPr defaultRowHeight="15"/>
  <cols>
    <col min="2" max="3" width="11.28515625" customWidth="1"/>
    <col min="4" max="4" width="10.28515625" customWidth="1"/>
    <col min="5" max="5" width="15.85546875" customWidth="1"/>
    <col min="6" max="6" width="12" customWidth="1"/>
    <col min="7" max="7" width="10.28515625" customWidth="1"/>
  </cols>
  <sheetData>
    <row r="1" spans="1:26">
      <c r="A1" s="1" t="s">
        <v>21</v>
      </c>
      <c r="B1" s="1" t="s">
        <v>22</v>
      </c>
      <c r="C1" s="1" t="s">
        <v>29</v>
      </c>
      <c r="D1" s="1" t="s">
        <v>23</v>
      </c>
      <c r="E1" s="1" t="s">
        <v>24</v>
      </c>
      <c r="F1" s="1" t="s">
        <v>25</v>
      </c>
      <c r="G1" s="1" t="s">
        <v>26</v>
      </c>
      <c r="J1" s="1" t="s">
        <v>21</v>
      </c>
      <c r="K1" s="1" t="s">
        <v>22</v>
      </c>
      <c r="L1" s="1" t="s">
        <v>29</v>
      </c>
      <c r="M1" s="1" t="s">
        <v>23</v>
      </c>
      <c r="N1" s="1" t="s">
        <v>24</v>
      </c>
      <c r="O1" s="1" t="s">
        <v>25</v>
      </c>
      <c r="P1" s="1" t="s">
        <v>26</v>
      </c>
      <c r="T1" s="1" t="s">
        <v>21</v>
      </c>
      <c r="U1" s="1" t="s">
        <v>22</v>
      </c>
      <c r="V1" s="1" t="s">
        <v>29</v>
      </c>
      <c r="W1" s="1" t="s">
        <v>23</v>
      </c>
      <c r="X1" s="1" t="s">
        <v>24</v>
      </c>
      <c r="Y1" s="1" t="s">
        <v>25</v>
      </c>
      <c r="Z1" s="1" t="s">
        <v>26</v>
      </c>
    </row>
    <row r="2" spans="1:26">
      <c r="A2" t="s">
        <v>30</v>
      </c>
      <c r="B2">
        <v>10</v>
      </c>
      <c r="C2" t="s">
        <v>31</v>
      </c>
      <c r="D2">
        <v>206</v>
      </c>
      <c r="E2">
        <v>13.26</v>
      </c>
      <c r="F2">
        <v>2</v>
      </c>
      <c r="G2">
        <v>2.0499999999999998</v>
      </c>
      <c r="J2" s="6">
        <v>45882</v>
      </c>
      <c r="K2">
        <v>10</v>
      </c>
      <c r="L2">
        <v>7106</v>
      </c>
      <c r="M2">
        <v>269</v>
      </c>
      <c r="N2">
        <v>0</v>
      </c>
      <c r="O2">
        <v>2</v>
      </c>
      <c r="P2">
        <v>2.0499999999999998</v>
      </c>
      <c r="T2" s="6">
        <v>45899</v>
      </c>
      <c r="U2">
        <v>10</v>
      </c>
      <c r="V2">
        <v>7463</v>
      </c>
      <c r="W2">
        <v>328</v>
      </c>
      <c r="X2">
        <v>5.25</v>
      </c>
      <c r="Y2">
        <v>2</v>
      </c>
      <c r="Z2">
        <v>2.0499999999999998</v>
      </c>
    </row>
    <row r="3" spans="1:26">
      <c r="B3">
        <v>10</v>
      </c>
      <c r="C3">
        <v>6779</v>
      </c>
      <c r="D3">
        <v>207</v>
      </c>
      <c r="E3">
        <v>13.26</v>
      </c>
      <c r="F3">
        <v>2</v>
      </c>
      <c r="G3">
        <v>2.0499999999999998</v>
      </c>
      <c r="K3">
        <v>10</v>
      </c>
      <c r="L3">
        <v>7107</v>
      </c>
      <c r="M3">
        <v>270</v>
      </c>
      <c r="N3">
        <v>0</v>
      </c>
      <c r="O3">
        <v>2</v>
      </c>
      <c r="P3">
        <v>2.0499999999999998</v>
      </c>
      <c r="U3">
        <v>10</v>
      </c>
      <c r="V3">
        <v>7464</v>
      </c>
      <c r="W3">
        <v>329</v>
      </c>
      <c r="X3">
        <v>5.25</v>
      </c>
      <c r="Y3">
        <v>2</v>
      </c>
      <c r="Z3">
        <v>2.0499999999999998</v>
      </c>
    </row>
    <row r="4" spans="1:26">
      <c r="B4">
        <v>10</v>
      </c>
      <c r="C4">
        <v>6780</v>
      </c>
      <c r="D4">
        <v>208</v>
      </c>
      <c r="E4">
        <v>13.26</v>
      </c>
      <c r="F4">
        <v>2</v>
      </c>
      <c r="G4">
        <v>2.0499999999999998</v>
      </c>
      <c r="K4">
        <v>10</v>
      </c>
      <c r="L4">
        <v>7108</v>
      </c>
      <c r="M4">
        <v>271</v>
      </c>
      <c r="N4">
        <v>0</v>
      </c>
      <c r="O4">
        <v>2</v>
      </c>
      <c r="P4">
        <v>2.0499999999999998</v>
      </c>
      <c r="U4">
        <v>10</v>
      </c>
      <c r="V4">
        <v>7465</v>
      </c>
      <c r="W4">
        <v>330</v>
      </c>
      <c r="X4">
        <v>5.25</v>
      </c>
      <c r="Y4">
        <v>2</v>
      </c>
      <c r="Z4">
        <v>2.0499999999999998</v>
      </c>
    </row>
    <row r="5" spans="1:26">
      <c r="B5">
        <v>10</v>
      </c>
      <c r="C5">
        <v>6781</v>
      </c>
      <c r="D5">
        <v>209</v>
      </c>
      <c r="E5">
        <v>13.26</v>
      </c>
      <c r="F5">
        <v>2</v>
      </c>
      <c r="G5">
        <v>2.0499999999999998</v>
      </c>
      <c r="K5">
        <v>11</v>
      </c>
      <c r="L5">
        <v>7109</v>
      </c>
      <c r="M5">
        <v>272</v>
      </c>
      <c r="N5">
        <v>0</v>
      </c>
      <c r="O5">
        <v>2</v>
      </c>
      <c r="P5">
        <v>2.29</v>
      </c>
      <c r="U5">
        <v>10</v>
      </c>
      <c r="V5">
        <v>7466</v>
      </c>
      <c r="W5">
        <v>331</v>
      </c>
      <c r="X5">
        <v>5.25</v>
      </c>
      <c r="Y5">
        <v>2</v>
      </c>
      <c r="Z5">
        <v>2.0499999999999998</v>
      </c>
    </row>
    <row r="6" spans="1:26">
      <c r="B6">
        <v>10</v>
      </c>
      <c r="C6">
        <v>6782</v>
      </c>
      <c r="D6">
        <v>210</v>
      </c>
      <c r="E6">
        <v>13.26</v>
      </c>
      <c r="F6">
        <v>2</v>
      </c>
      <c r="G6">
        <v>2.0499999999999998</v>
      </c>
      <c r="K6">
        <v>11</v>
      </c>
      <c r="L6">
        <v>7110</v>
      </c>
      <c r="M6">
        <v>273</v>
      </c>
      <c r="N6">
        <v>0</v>
      </c>
      <c r="O6">
        <v>2</v>
      </c>
      <c r="P6">
        <v>2.29</v>
      </c>
      <c r="U6">
        <v>11</v>
      </c>
      <c r="V6">
        <v>7467</v>
      </c>
      <c r="W6">
        <v>332</v>
      </c>
      <c r="X6">
        <v>4.3</v>
      </c>
      <c r="Y6">
        <v>2</v>
      </c>
      <c r="Z6">
        <v>2.29</v>
      </c>
    </row>
    <row r="7" spans="1:26">
      <c r="B7">
        <v>10</v>
      </c>
      <c r="C7">
        <v>6783</v>
      </c>
      <c r="D7">
        <v>211</v>
      </c>
      <c r="E7">
        <v>13.26</v>
      </c>
      <c r="F7">
        <v>2</v>
      </c>
      <c r="G7">
        <v>2.0499999999999998</v>
      </c>
      <c r="K7">
        <v>11</v>
      </c>
      <c r="L7">
        <v>7111</v>
      </c>
      <c r="M7">
        <v>274</v>
      </c>
      <c r="N7">
        <v>0</v>
      </c>
      <c r="O7">
        <v>2</v>
      </c>
      <c r="P7">
        <v>2.29</v>
      </c>
      <c r="U7">
        <v>11</v>
      </c>
      <c r="V7">
        <v>7468</v>
      </c>
      <c r="W7">
        <v>333</v>
      </c>
      <c r="X7">
        <v>4.3</v>
      </c>
      <c r="Y7">
        <v>2</v>
      </c>
      <c r="Z7">
        <v>2.29</v>
      </c>
    </row>
    <row r="8" spans="1:26">
      <c r="B8">
        <v>10</v>
      </c>
      <c r="C8">
        <v>6784</v>
      </c>
      <c r="D8">
        <v>212</v>
      </c>
      <c r="E8">
        <v>13.26</v>
      </c>
      <c r="F8">
        <v>2</v>
      </c>
      <c r="G8">
        <v>2.0499999999999998</v>
      </c>
      <c r="K8">
        <v>12</v>
      </c>
      <c r="L8">
        <v>7112</v>
      </c>
      <c r="M8">
        <v>275</v>
      </c>
      <c r="N8">
        <v>0</v>
      </c>
      <c r="O8">
        <v>2</v>
      </c>
      <c r="P8">
        <v>1.92</v>
      </c>
      <c r="U8">
        <v>11</v>
      </c>
      <c r="V8">
        <v>7469</v>
      </c>
      <c r="W8">
        <v>334</v>
      </c>
      <c r="X8">
        <v>4.3</v>
      </c>
      <c r="Y8">
        <v>2</v>
      </c>
      <c r="Z8">
        <v>2.29</v>
      </c>
    </row>
    <row r="9" spans="1:26">
      <c r="B9">
        <v>10</v>
      </c>
      <c r="C9">
        <v>6785</v>
      </c>
      <c r="D9">
        <v>213</v>
      </c>
      <c r="E9">
        <v>13.26</v>
      </c>
      <c r="F9">
        <v>2</v>
      </c>
      <c r="G9">
        <v>2.0499999999999998</v>
      </c>
      <c r="K9">
        <v>12</v>
      </c>
      <c r="L9">
        <v>7113</v>
      </c>
      <c r="M9">
        <v>276</v>
      </c>
      <c r="N9">
        <v>0</v>
      </c>
      <c r="O9">
        <v>2</v>
      </c>
      <c r="P9">
        <v>1.92</v>
      </c>
      <c r="U9">
        <v>11</v>
      </c>
      <c r="V9">
        <v>7470</v>
      </c>
      <c r="W9">
        <v>335</v>
      </c>
      <c r="X9">
        <v>4.3</v>
      </c>
      <c r="Y9">
        <v>2</v>
      </c>
      <c r="Z9">
        <v>2.29</v>
      </c>
    </row>
    <row r="10" spans="1:26">
      <c r="B10">
        <v>10</v>
      </c>
      <c r="C10">
        <v>6786</v>
      </c>
      <c r="D10">
        <v>214</v>
      </c>
      <c r="E10">
        <v>13.26</v>
      </c>
      <c r="F10">
        <v>2</v>
      </c>
      <c r="G10">
        <v>2.0499999999999998</v>
      </c>
      <c r="K10">
        <v>12</v>
      </c>
      <c r="L10">
        <v>7114</v>
      </c>
      <c r="M10">
        <v>277</v>
      </c>
      <c r="N10">
        <v>0</v>
      </c>
      <c r="O10">
        <v>2</v>
      </c>
      <c r="P10">
        <v>1.92</v>
      </c>
      <c r="U10">
        <v>12</v>
      </c>
      <c r="V10">
        <v>7471</v>
      </c>
      <c r="W10">
        <v>336</v>
      </c>
      <c r="X10">
        <v>7.87</v>
      </c>
      <c r="Y10">
        <v>2</v>
      </c>
      <c r="Z10">
        <v>1.92</v>
      </c>
    </row>
    <row r="11" spans="1:26">
      <c r="B11">
        <v>10</v>
      </c>
      <c r="C11">
        <v>6787</v>
      </c>
      <c r="D11">
        <v>215</v>
      </c>
      <c r="E11">
        <v>13.26</v>
      </c>
      <c r="F11">
        <v>2</v>
      </c>
      <c r="G11">
        <v>2.0499999999999998</v>
      </c>
      <c r="K11">
        <v>13</v>
      </c>
      <c r="L11">
        <v>7115</v>
      </c>
      <c r="M11">
        <v>278</v>
      </c>
      <c r="N11">
        <v>0</v>
      </c>
      <c r="O11">
        <v>3</v>
      </c>
      <c r="P11">
        <v>2.5</v>
      </c>
      <c r="U11">
        <v>12</v>
      </c>
      <c r="V11">
        <v>7472</v>
      </c>
      <c r="W11">
        <v>337</v>
      </c>
      <c r="X11">
        <v>7.87</v>
      </c>
      <c r="Y11">
        <v>2</v>
      </c>
      <c r="Z11">
        <v>1.92</v>
      </c>
    </row>
    <row r="12" spans="1:26">
      <c r="B12">
        <v>10</v>
      </c>
      <c r="C12">
        <v>6788</v>
      </c>
      <c r="D12">
        <v>216</v>
      </c>
      <c r="E12">
        <v>13.26</v>
      </c>
      <c r="F12">
        <v>2</v>
      </c>
      <c r="G12">
        <v>2.0499999999999998</v>
      </c>
      <c r="K12">
        <v>13</v>
      </c>
      <c r="L12">
        <v>7116</v>
      </c>
      <c r="M12">
        <v>279</v>
      </c>
      <c r="N12">
        <v>0</v>
      </c>
      <c r="O12">
        <v>3</v>
      </c>
      <c r="P12">
        <v>2.5</v>
      </c>
      <c r="U12">
        <v>12</v>
      </c>
      <c r="V12">
        <v>7473</v>
      </c>
      <c r="W12">
        <v>338</v>
      </c>
      <c r="X12">
        <v>7.87</v>
      </c>
      <c r="Y12">
        <v>2</v>
      </c>
      <c r="Z12">
        <v>1.92</v>
      </c>
    </row>
    <row r="13" spans="1:26">
      <c r="B13">
        <v>10</v>
      </c>
      <c r="C13">
        <v>6789</v>
      </c>
      <c r="D13">
        <v>217</v>
      </c>
      <c r="E13">
        <v>13.26</v>
      </c>
      <c r="F13">
        <v>2</v>
      </c>
      <c r="G13">
        <v>2.0499999999999998</v>
      </c>
      <c r="K13">
        <v>13</v>
      </c>
      <c r="L13">
        <v>7117</v>
      </c>
      <c r="M13">
        <v>280</v>
      </c>
      <c r="N13">
        <v>0</v>
      </c>
      <c r="O13">
        <v>3</v>
      </c>
      <c r="P13">
        <v>2.5</v>
      </c>
      <c r="U13">
        <v>12</v>
      </c>
      <c r="V13">
        <v>7474</v>
      </c>
      <c r="W13">
        <v>339</v>
      </c>
      <c r="X13">
        <v>7.87</v>
      </c>
      <c r="Y13">
        <v>2</v>
      </c>
      <c r="Z13">
        <v>1.92</v>
      </c>
    </row>
    <row r="14" spans="1:26">
      <c r="B14">
        <v>11</v>
      </c>
      <c r="C14">
        <v>6790</v>
      </c>
      <c r="D14">
        <v>218</v>
      </c>
      <c r="E14">
        <v>13.35</v>
      </c>
      <c r="F14">
        <v>2</v>
      </c>
      <c r="G14">
        <v>2.29</v>
      </c>
      <c r="J14" s="6">
        <v>45889</v>
      </c>
      <c r="K14">
        <v>10</v>
      </c>
      <c r="L14">
        <v>7170</v>
      </c>
      <c r="M14">
        <v>281</v>
      </c>
      <c r="N14">
        <v>47.79</v>
      </c>
      <c r="O14">
        <v>2</v>
      </c>
      <c r="P14">
        <v>2.0499999999999998</v>
      </c>
      <c r="U14">
        <v>13</v>
      </c>
      <c r="V14">
        <v>7475</v>
      </c>
      <c r="W14">
        <v>340</v>
      </c>
      <c r="X14">
        <v>1.76</v>
      </c>
      <c r="Y14">
        <v>3</v>
      </c>
      <c r="Z14">
        <v>2.5</v>
      </c>
    </row>
    <row r="15" spans="1:26">
      <c r="B15">
        <v>11</v>
      </c>
      <c r="C15">
        <v>6791</v>
      </c>
      <c r="D15">
        <v>219</v>
      </c>
      <c r="E15">
        <v>13.35</v>
      </c>
      <c r="F15">
        <v>2</v>
      </c>
      <c r="G15">
        <v>2.29</v>
      </c>
      <c r="K15">
        <v>10</v>
      </c>
      <c r="L15">
        <v>7171</v>
      </c>
      <c r="M15">
        <v>282</v>
      </c>
      <c r="N15">
        <v>47.79</v>
      </c>
      <c r="O15">
        <v>2</v>
      </c>
      <c r="P15">
        <v>2.0499999999999998</v>
      </c>
      <c r="U15">
        <v>13</v>
      </c>
      <c r="V15">
        <v>7476</v>
      </c>
      <c r="W15">
        <v>341</v>
      </c>
      <c r="X15">
        <v>1.76</v>
      </c>
      <c r="Y15">
        <v>3</v>
      </c>
      <c r="Z15">
        <v>2.5</v>
      </c>
    </row>
    <row r="16" spans="1:26">
      <c r="B16">
        <v>11</v>
      </c>
      <c r="C16">
        <v>6792</v>
      </c>
      <c r="D16">
        <v>220</v>
      </c>
      <c r="E16">
        <v>13.35</v>
      </c>
      <c r="F16">
        <v>2</v>
      </c>
      <c r="G16">
        <v>2.29</v>
      </c>
      <c r="K16">
        <v>10</v>
      </c>
      <c r="L16">
        <v>7172</v>
      </c>
      <c r="M16">
        <v>283</v>
      </c>
      <c r="N16">
        <v>47.79</v>
      </c>
      <c r="O16">
        <v>2</v>
      </c>
      <c r="P16">
        <v>2.0499999999999998</v>
      </c>
      <c r="U16">
        <v>13</v>
      </c>
      <c r="V16">
        <v>7477</v>
      </c>
      <c r="W16">
        <v>342</v>
      </c>
      <c r="X16">
        <v>1.76</v>
      </c>
      <c r="Y16">
        <v>3</v>
      </c>
      <c r="Z16">
        <v>2.5</v>
      </c>
    </row>
    <row r="17" spans="2:26">
      <c r="B17">
        <v>11</v>
      </c>
      <c r="C17">
        <v>6793</v>
      </c>
      <c r="D17">
        <v>221</v>
      </c>
      <c r="E17">
        <v>13.35</v>
      </c>
      <c r="F17">
        <v>2</v>
      </c>
      <c r="G17">
        <v>2.29</v>
      </c>
      <c r="K17">
        <v>10</v>
      </c>
      <c r="L17">
        <v>7176</v>
      </c>
      <c r="M17">
        <v>284</v>
      </c>
      <c r="N17">
        <v>47.79</v>
      </c>
      <c r="O17">
        <v>2</v>
      </c>
      <c r="P17">
        <v>2.0499999999999998</v>
      </c>
      <c r="U17">
        <v>13</v>
      </c>
      <c r="V17">
        <v>7478</v>
      </c>
      <c r="W17">
        <v>343</v>
      </c>
      <c r="X17">
        <v>1.76</v>
      </c>
      <c r="Y17">
        <v>3</v>
      </c>
      <c r="Z17">
        <v>2.5</v>
      </c>
    </row>
    <row r="18" spans="2:26">
      <c r="B18">
        <v>11</v>
      </c>
      <c r="C18">
        <v>6794</v>
      </c>
      <c r="D18">
        <v>222</v>
      </c>
      <c r="E18">
        <v>13.35</v>
      </c>
      <c r="F18">
        <v>2</v>
      </c>
      <c r="G18">
        <v>2.29</v>
      </c>
      <c r="K18">
        <v>10</v>
      </c>
      <c r="L18">
        <v>7177</v>
      </c>
      <c r="M18">
        <v>285</v>
      </c>
      <c r="N18">
        <v>47.79</v>
      </c>
      <c r="O18">
        <v>2</v>
      </c>
      <c r="P18">
        <v>2.0499999999999998</v>
      </c>
      <c r="T18" s="6">
        <v>45904</v>
      </c>
      <c r="U18">
        <v>10</v>
      </c>
      <c r="V18">
        <v>7762</v>
      </c>
      <c r="W18">
        <v>344</v>
      </c>
      <c r="X18">
        <v>36.1</v>
      </c>
      <c r="Y18">
        <v>2</v>
      </c>
      <c r="Z18">
        <v>2.0499999999999998</v>
      </c>
    </row>
    <row r="19" spans="2:26">
      <c r="B19">
        <v>11</v>
      </c>
      <c r="C19">
        <v>6795</v>
      </c>
      <c r="D19">
        <v>223</v>
      </c>
      <c r="E19">
        <v>13.35</v>
      </c>
      <c r="F19">
        <v>2</v>
      </c>
      <c r="G19">
        <v>2.29</v>
      </c>
      <c r="K19">
        <v>10</v>
      </c>
      <c r="L19">
        <v>7178</v>
      </c>
      <c r="M19">
        <v>286</v>
      </c>
      <c r="N19">
        <v>47.79</v>
      </c>
      <c r="O19">
        <v>2</v>
      </c>
      <c r="P19">
        <v>2.0499999999999998</v>
      </c>
      <c r="U19">
        <v>10</v>
      </c>
      <c r="V19">
        <v>7763</v>
      </c>
      <c r="W19">
        <v>345</v>
      </c>
      <c r="X19">
        <v>36.1</v>
      </c>
      <c r="Y19">
        <v>2</v>
      </c>
      <c r="Z19">
        <v>2.0499999999999998</v>
      </c>
    </row>
    <row r="20" spans="2:26">
      <c r="B20">
        <v>11</v>
      </c>
      <c r="C20">
        <v>6796</v>
      </c>
      <c r="D20">
        <v>224</v>
      </c>
      <c r="E20">
        <v>13.35</v>
      </c>
      <c r="F20">
        <v>2</v>
      </c>
      <c r="G20">
        <v>2.29</v>
      </c>
      <c r="K20">
        <v>11</v>
      </c>
      <c r="L20">
        <v>7173</v>
      </c>
      <c r="M20">
        <v>287</v>
      </c>
      <c r="N20">
        <v>52.65</v>
      </c>
      <c r="O20">
        <v>2</v>
      </c>
      <c r="P20">
        <v>2.29</v>
      </c>
      <c r="U20">
        <v>10</v>
      </c>
      <c r="V20">
        <v>7764</v>
      </c>
      <c r="W20">
        <v>346</v>
      </c>
      <c r="X20">
        <v>36.1</v>
      </c>
      <c r="Y20">
        <v>2</v>
      </c>
      <c r="Z20">
        <v>2.0499999999999998</v>
      </c>
    </row>
    <row r="21" spans="2:26">
      <c r="B21">
        <v>11</v>
      </c>
      <c r="C21">
        <v>6797</v>
      </c>
      <c r="D21">
        <v>225</v>
      </c>
      <c r="E21">
        <v>13.35</v>
      </c>
      <c r="F21">
        <v>2</v>
      </c>
      <c r="G21">
        <v>2.29</v>
      </c>
      <c r="K21">
        <v>11</v>
      </c>
      <c r="L21">
        <v>7174</v>
      </c>
      <c r="M21">
        <v>288</v>
      </c>
      <c r="N21">
        <v>52.65</v>
      </c>
      <c r="O21">
        <v>2</v>
      </c>
      <c r="P21">
        <v>2.29</v>
      </c>
      <c r="U21">
        <v>10</v>
      </c>
      <c r="V21">
        <v>7765</v>
      </c>
      <c r="W21">
        <v>347</v>
      </c>
      <c r="X21">
        <v>36.1</v>
      </c>
      <c r="Y21">
        <v>2</v>
      </c>
      <c r="Z21">
        <v>2.0499999999999998</v>
      </c>
    </row>
    <row r="22" spans="2:26">
      <c r="B22">
        <v>11</v>
      </c>
      <c r="C22">
        <v>6798</v>
      </c>
      <c r="D22">
        <v>226</v>
      </c>
      <c r="E22">
        <v>13.35</v>
      </c>
      <c r="F22">
        <v>2</v>
      </c>
      <c r="G22">
        <v>2.29</v>
      </c>
      <c r="K22">
        <v>11</v>
      </c>
      <c r="L22">
        <v>7175</v>
      </c>
      <c r="M22">
        <v>289</v>
      </c>
      <c r="N22">
        <v>52.65</v>
      </c>
      <c r="O22">
        <v>2</v>
      </c>
      <c r="P22">
        <v>2.29</v>
      </c>
      <c r="U22">
        <v>10</v>
      </c>
      <c r="V22">
        <v>7766</v>
      </c>
      <c r="W22">
        <v>348</v>
      </c>
      <c r="X22">
        <v>36.1</v>
      </c>
      <c r="Y22">
        <v>2</v>
      </c>
      <c r="Z22">
        <v>2.0499999999999998</v>
      </c>
    </row>
    <row r="23" spans="2:26">
      <c r="B23">
        <v>11</v>
      </c>
      <c r="C23">
        <v>6799</v>
      </c>
      <c r="D23">
        <v>227</v>
      </c>
      <c r="E23">
        <v>13.35</v>
      </c>
      <c r="F23">
        <v>2</v>
      </c>
      <c r="G23">
        <v>2.29</v>
      </c>
      <c r="K23">
        <v>12</v>
      </c>
      <c r="L23">
        <v>7182</v>
      </c>
      <c r="M23">
        <v>290</v>
      </c>
      <c r="N23">
        <v>45.85</v>
      </c>
      <c r="O23">
        <v>2</v>
      </c>
      <c r="P23">
        <v>1.92</v>
      </c>
      <c r="U23">
        <v>11</v>
      </c>
      <c r="V23">
        <v>7767</v>
      </c>
      <c r="W23">
        <v>349</v>
      </c>
      <c r="X23">
        <v>32.6</v>
      </c>
      <c r="Y23">
        <v>2</v>
      </c>
      <c r="Z23">
        <v>2.29</v>
      </c>
    </row>
    <row r="24" spans="2:26">
      <c r="B24">
        <v>11</v>
      </c>
      <c r="C24">
        <v>6800</v>
      </c>
      <c r="D24">
        <v>228</v>
      </c>
      <c r="E24">
        <v>13.35</v>
      </c>
      <c r="F24">
        <v>2</v>
      </c>
      <c r="G24">
        <v>2.29</v>
      </c>
      <c r="K24">
        <v>12</v>
      </c>
      <c r="L24">
        <v>7183</v>
      </c>
      <c r="M24">
        <v>291</v>
      </c>
      <c r="N24">
        <v>45.85</v>
      </c>
      <c r="O24">
        <v>2</v>
      </c>
      <c r="P24">
        <v>1.92</v>
      </c>
      <c r="U24">
        <v>11</v>
      </c>
      <c r="V24">
        <v>7768</v>
      </c>
      <c r="W24">
        <v>350</v>
      </c>
      <c r="X24">
        <v>32.6</v>
      </c>
      <c r="Y24">
        <v>2</v>
      </c>
      <c r="Z24">
        <v>2.29</v>
      </c>
    </row>
    <row r="25" spans="2:26">
      <c r="B25">
        <v>11</v>
      </c>
      <c r="C25">
        <v>6801</v>
      </c>
      <c r="D25">
        <v>229</v>
      </c>
      <c r="E25">
        <v>13.35</v>
      </c>
      <c r="F25">
        <v>2</v>
      </c>
      <c r="G25">
        <v>2.29</v>
      </c>
      <c r="K25">
        <v>12</v>
      </c>
      <c r="L25">
        <v>7184</v>
      </c>
      <c r="M25">
        <v>292</v>
      </c>
      <c r="N25">
        <v>45.85</v>
      </c>
      <c r="O25">
        <v>2</v>
      </c>
      <c r="P25">
        <v>1.92</v>
      </c>
      <c r="U25">
        <v>11</v>
      </c>
      <c r="V25">
        <v>7769</v>
      </c>
      <c r="W25">
        <v>351</v>
      </c>
      <c r="X25">
        <v>32.6</v>
      </c>
      <c r="Y25">
        <v>2</v>
      </c>
      <c r="Z25">
        <v>2.29</v>
      </c>
    </row>
    <row r="26" spans="2:26">
      <c r="B26">
        <v>12</v>
      </c>
      <c r="C26">
        <v>6802</v>
      </c>
      <c r="D26">
        <v>230</v>
      </c>
      <c r="E26">
        <v>8.89</v>
      </c>
      <c r="F26">
        <v>2</v>
      </c>
      <c r="G26">
        <v>1.92</v>
      </c>
      <c r="K26">
        <v>13</v>
      </c>
      <c r="L26">
        <v>7179</v>
      </c>
      <c r="M26">
        <v>293</v>
      </c>
      <c r="N26">
        <v>57.41</v>
      </c>
      <c r="O26">
        <v>3</v>
      </c>
      <c r="P26">
        <v>2.5</v>
      </c>
      <c r="U26">
        <v>11</v>
      </c>
      <c r="V26">
        <v>7770</v>
      </c>
      <c r="W26">
        <v>352</v>
      </c>
      <c r="X26">
        <v>32.6</v>
      </c>
      <c r="Y26">
        <v>2</v>
      </c>
      <c r="Z26">
        <v>2.29</v>
      </c>
    </row>
    <row r="27" spans="2:26">
      <c r="B27">
        <v>12</v>
      </c>
      <c r="C27">
        <v>6803</v>
      </c>
      <c r="D27">
        <v>231</v>
      </c>
      <c r="E27">
        <v>8.89</v>
      </c>
      <c r="F27">
        <v>2</v>
      </c>
      <c r="G27">
        <v>1.92</v>
      </c>
      <c r="K27">
        <v>13</v>
      </c>
      <c r="L27">
        <v>7180</v>
      </c>
      <c r="M27">
        <v>294</v>
      </c>
      <c r="N27">
        <v>57.41</v>
      </c>
      <c r="O27">
        <v>3</v>
      </c>
      <c r="P27">
        <v>2.5</v>
      </c>
      <c r="U27">
        <v>12</v>
      </c>
      <c r="V27">
        <v>7771</v>
      </c>
      <c r="W27">
        <v>353</v>
      </c>
      <c r="X27">
        <v>33.39</v>
      </c>
      <c r="Y27">
        <v>2</v>
      </c>
      <c r="Z27">
        <v>1.92</v>
      </c>
    </row>
    <row r="28" spans="2:26">
      <c r="B28">
        <v>12</v>
      </c>
      <c r="C28">
        <v>6804</v>
      </c>
      <c r="D28">
        <v>232</v>
      </c>
      <c r="E28">
        <v>8.89</v>
      </c>
      <c r="F28">
        <v>2</v>
      </c>
      <c r="G28">
        <v>1.92</v>
      </c>
      <c r="K28">
        <v>13</v>
      </c>
      <c r="L28">
        <v>7181</v>
      </c>
      <c r="M28">
        <v>295</v>
      </c>
      <c r="N28">
        <v>57.41</v>
      </c>
      <c r="O28">
        <v>3</v>
      </c>
      <c r="P28">
        <v>2.5</v>
      </c>
      <c r="U28">
        <v>12</v>
      </c>
      <c r="V28">
        <v>7772</v>
      </c>
      <c r="W28">
        <v>354</v>
      </c>
      <c r="X28">
        <v>33.39</v>
      </c>
      <c r="Y28">
        <v>2</v>
      </c>
      <c r="Z28">
        <v>1.92</v>
      </c>
    </row>
    <row r="29" spans="2:26">
      <c r="B29">
        <v>12</v>
      </c>
      <c r="C29">
        <v>6805</v>
      </c>
      <c r="D29">
        <v>233</v>
      </c>
      <c r="E29">
        <v>8.89</v>
      </c>
      <c r="F29">
        <v>2</v>
      </c>
      <c r="G29">
        <v>1.92</v>
      </c>
      <c r="J29" s="6">
        <v>45892</v>
      </c>
      <c r="K29">
        <v>10</v>
      </c>
      <c r="L29">
        <v>7298</v>
      </c>
      <c r="M29">
        <v>296</v>
      </c>
      <c r="N29">
        <v>27.86</v>
      </c>
      <c r="O29">
        <v>2</v>
      </c>
      <c r="P29">
        <v>2.0499999999999998</v>
      </c>
      <c r="U29">
        <v>12</v>
      </c>
      <c r="V29">
        <v>7773</v>
      </c>
      <c r="W29">
        <v>355</v>
      </c>
      <c r="X29">
        <v>33.39</v>
      </c>
      <c r="Y29">
        <v>2</v>
      </c>
      <c r="Z29">
        <v>1.92</v>
      </c>
    </row>
    <row r="30" spans="2:26">
      <c r="B30">
        <v>12</v>
      </c>
      <c r="C30">
        <v>6806</v>
      </c>
      <c r="D30">
        <v>234</v>
      </c>
      <c r="E30">
        <v>8.89</v>
      </c>
      <c r="F30">
        <v>2</v>
      </c>
      <c r="G30">
        <v>1.92</v>
      </c>
      <c r="K30">
        <v>10</v>
      </c>
      <c r="L30">
        <v>7299</v>
      </c>
      <c r="M30">
        <v>297</v>
      </c>
      <c r="N30">
        <v>27.86</v>
      </c>
      <c r="O30">
        <v>2</v>
      </c>
      <c r="P30">
        <v>2.0499999999999998</v>
      </c>
      <c r="U30">
        <v>12</v>
      </c>
      <c r="V30">
        <v>7774</v>
      </c>
      <c r="W30">
        <v>356</v>
      </c>
      <c r="X30">
        <v>33.39</v>
      </c>
      <c r="Y30">
        <v>2</v>
      </c>
      <c r="Z30">
        <v>1.92</v>
      </c>
    </row>
    <row r="31" spans="2:26">
      <c r="B31">
        <v>12</v>
      </c>
      <c r="C31">
        <v>6807</v>
      </c>
      <c r="D31">
        <v>235</v>
      </c>
      <c r="E31">
        <v>8.89</v>
      </c>
      <c r="F31">
        <v>2</v>
      </c>
      <c r="G31">
        <v>1.92</v>
      </c>
      <c r="K31">
        <v>10</v>
      </c>
      <c r="L31">
        <v>7300</v>
      </c>
      <c r="M31">
        <v>298</v>
      </c>
      <c r="N31">
        <v>27.86</v>
      </c>
      <c r="O31">
        <v>2</v>
      </c>
      <c r="P31">
        <v>2.0499999999999998</v>
      </c>
      <c r="U31">
        <v>13</v>
      </c>
      <c r="V31">
        <v>7775</v>
      </c>
      <c r="W31">
        <v>357</v>
      </c>
      <c r="X31">
        <v>27.6</v>
      </c>
      <c r="Y31">
        <v>3</v>
      </c>
      <c r="Z31">
        <v>2.5</v>
      </c>
    </row>
    <row r="32" spans="2:26">
      <c r="B32">
        <v>12</v>
      </c>
      <c r="C32">
        <v>6808</v>
      </c>
      <c r="D32">
        <v>236</v>
      </c>
      <c r="E32">
        <v>8.89</v>
      </c>
      <c r="F32">
        <v>2</v>
      </c>
      <c r="G32">
        <v>1.92</v>
      </c>
      <c r="K32">
        <v>10</v>
      </c>
      <c r="L32">
        <v>7301</v>
      </c>
      <c r="M32">
        <v>299</v>
      </c>
      <c r="N32">
        <v>27.86</v>
      </c>
      <c r="O32">
        <v>2</v>
      </c>
      <c r="P32">
        <v>2.0499999999999998</v>
      </c>
      <c r="U32">
        <v>13</v>
      </c>
      <c r="V32">
        <v>7776</v>
      </c>
      <c r="W32">
        <v>358</v>
      </c>
      <c r="X32">
        <v>27.6</v>
      </c>
      <c r="Y32">
        <v>3</v>
      </c>
      <c r="Z32">
        <v>2.5</v>
      </c>
    </row>
    <row r="33" spans="2:26">
      <c r="B33">
        <v>12</v>
      </c>
      <c r="C33">
        <v>6809</v>
      </c>
      <c r="D33">
        <v>237</v>
      </c>
      <c r="E33">
        <v>8.89</v>
      </c>
      <c r="F33">
        <v>2</v>
      </c>
      <c r="G33">
        <v>1.92</v>
      </c>
      <c r="K33">
        <v>11</v>
      </c>
      <c r="L33">
        <v>7302</v>
      </c>
      <c r="M33">
        <v>300</v>
      </c>
      <c r="N33">
        <v>29.46</v>
      </c>
      <c r="O33">
        <v>2</v>
      </c>
      <c r="P33">
        <v>2.29</v>
      </c>
      <c r="U33">
        <v>13</v>
      </c>
      <c r="V33">
        <v>7777</v>
      </c>
      <c r="W33">
        <v>359</v>
      </c>
      <c r="X33">
        <v>27.6</v>
      </c>
      <c r="Y33">
        <v>3</v>
      </c>
      <c r="Z33">
        <v>2.5</v>
      </c>
    </row>
    <row r="34" spans="2:26">
      <c r="B34">
        <v>12</v>
      </c>
      <c r="C34">
        <v>6810</v>
      </c>
      <c r="D34">
        <v>238</v>
      </c>
      <c r="E34">
        <v>8.89</v>
      </c>
      <c r="F34">
        <v>2</v>
      </c>
      <c r="G34">
        <v>1.92</v>
      </c>
      <c r="K34">
        <v>11</v>
      </c>
      <c r="L34">
        <v>7303</v>
      </c>
      <c r="M34">
        <v>301</v>
      </c>
      <c r="N34">
        <v>29.46</v>
      </c>
      <c r="O34">
        <v>2</v>
      </c>
      <c r="P34">
        <v>2.29</v>
      </c>
      <c r="U34">
        <v>13</v>
      </c>
      <c r="V34">
        <v>7778</v>
      </c>
      <c r="W34">
        <v>360</v>
      </c>
      <c r="X34">
        <v>27.6</v>
      </c>
      <c r="Y34">
        <v>3</v>
      </c>
      <c r="Z34">
        <v>2.5</v>
      </c>
    </row>
    <row r="35" spans="2:26">
      <c r="B35">
        <v>12</v>
      </c>
      <c r="C35">
        <v>6811</v>
      </c>
      <c r="D35">
        <v>239</v>
      </c>
      <c r="E35">
        <v>8.89</v>
      </c>
      <c r="F35">
        <v>2</v>
      </c>
      <c r="G35">
        <v>1.92</v>
      </c>
      <c r="K35">
        <v>11</v>
      </c>
      <c r="L35">
        <v>7304</v>
      </c>
      <c r="M35">
        <v>302</v>
      </c>
      <c r="N35">
        <v>29.46</v>
      </c>
      <c r="O35">
        <v>2</v>
      </c>
      <c r="P35">
        <v>2.29</v>
      </c>
    </row>
    <row r="36" spans="2:26">
      <c r="B36">
        <v>12</v>
      </c>
      <c r="C36">
        <v>6812</v>
      </c>
      <c r="D36">
        <v>240</v>
      </c>
      <c r="E36">
        <v>8.89</v>
      </c>
      <c r="F36">
        <v>2</v>
      </c>
      <c r="G36">
        <v>1.92</v>
      </c>
      <c r="K36">
        <v>11</v>
      </c>
      <c r="L36">
        <v>7305</v>
      </c>
      <c r="M36">
        <v>303</v>
      </c>
      <c r="N36">
        <v>29.46</v>
      </c>
      <c r="O36">
        <v>2</v>
      </c>
      <c r="P36">
        <v>2.29</v>
      </c>
    </row>
    <row r="37" spans="2:26">
      <c r="B37">
        <v>12</v>
      </c>
      <c r="C37">
        <v>6813</v>
      </c>
      <c r="D37">
        <v>241</v>
      </c>
      <c r="E37">
        <v>8.89</v>
      </c>
      <c r="F37">
        <v>2</v>
      </c>
      <c r="G37">
        <v>1.92</v>
      </c>
      <c r="K37">
        <v>12</v>
      </c>
      <c r="L37">
        <v>7306</v>
      </c>
      <c r="M37">
        <v>304</v>
      </c>
      <c r="N37">
        <v>28.31</v>
      </c>
      <c r="O37">
        <v>2</v>
      </c>
      <c r="P37">
        <v>1.92</v>
      </c>
    </row>
    <row r="38" spans="2:26">
      <c r="B38">
        <v>12</v>
      </c>
      <c r="C38">
        <v>6814</v>
      </c>
      <c r="D38">
        <v>242</v>
      </c>
      <c r="E38">
        <v>8.89</v>
      </c>
      <c r="F38">
        <v>2</v>
      </c>
      <c r="G38">
        <v>1.92</v>
      </c>
      <c r="K38">
        <v>12</v>
      </c>
      <c r="L38">
        <v>7307</v>
      </c>
      <c r="M38">
        <v>305</v>
      </c>
      <c r="N38">
        <v>28.31</v>
      </c>
      <c r="O38">
        <v>2</v>
      </c>
      <c r="P38">
        <v>1.92</v>
      </c>
    </row>
    <row r="39" spans="2:26">
      <c r="B39">
        <v>12</v>
      </c>
      <c r="C39">
        <v>6815</v>
      </c>
      <c r="D39">
        <v>243</v>
      </c>
      <c r="E39">
        <v>8.89</v>
      </c>
      <c r="F39">
        <v>2</v>
      </c>
      <c r="G39">
        <v>1.92</v>
      </c>
      <c r="K39">
        <v>12</v>
      </c>
      <c r="L39">
        <v>7308</v>
      </c>
      <c r="M39">
        <v>306</v>
      </c>
      <c r="N39">
        <v>28.31</v>
      </c>
      <c r="O39">
        <v>2</v>
      </c>
      <c r="P39">
        <v>1.92</v>
      </c>
    </row>
    <row r="40" spans="2:26">
      <c r="B40">
        <v>12</v>
      </c>
      <c r="C40">
        <v>6816</v>
      </c>
      <c r="D40">
        <v>244</v>
      </c>
      <c r="E40">
        <v>8.89</v>
      </c>
      <c r="F40">
        <v>2</v>
      </c>
      <c r="G40">
        <v>1.92</v>
      </c>
      <c r="K40">
        <v>12</v>
      </c>
      <c r="L40">
        <v>7309</v>
      </c>
      <c r="M40">
        <v>307</v>
      </c>
      <c r="N40">
        <v>28.31</v>
      </c>
      <c r="O40">
        <v>2</v>
      </c>
      <c r="P40">
        <v>1.92</v>
      </c>
    </row>
    <row r="41" spans="2:26">
      <c r="B41">
        <v>12</v>
      </c>
      <c r="C41">
        <v>6817</v>
      </c>
      <c r="D41">
        <v>245</v>
      </c>
      <c r="E41">
        <v>8.89</v>
      </c>
      <c r="F41">
        <v>2</v>
      </c>
      <c r="G41">
        <v>1.92</v>
      </c>
      <c r="K41">
        <v>13</v>
      </c>
      <c r="L41">
        <v>7310</v>
      </c>
      <c r="M41">
        <v>308</v>
      </c>
      <c r="N41">
        <v>25.85</v>
      </c>
      <c r="O41">
        <v>3</v>
      </c>
      <c r="P41">
        <v>2.5</v>
      </c>
    </row>
    <row r="42" spans="2:26">
      <c r="B42">
        <v>12</v>
      </c>
      <c r="C42">
        <v>6818</v>
      </c>
      <c r="D42">
        <v>246</v>
      </c>
      <c r="E42">
        <v>8.89</v>
      </c>
      <c r="F42">
        <v>2</v>
      </c>
      <c r="G42">
        <v>1.92</v>
      </c>
      <c r="K42">
        <v>13</v>
      </c>
      <c r="L42">
        <v>7311</v>
      </c>
      <c r="M42">
        <v>309</v>
      </c>
      <c r="N42">
        <v>25.85</v>
      </c>
      <c r="O42">
        <v>3</v>
      </c>
      <c r="P42">
        <v>2.5</v>
      </c>
    </row>
    <row r="43" spans="2:26">
      <c r="B43">
        <v>12</v>
      </c>
      <c r="C43">
        <v>6819</v>
      </c>
      <c r="D43">
        <v>247</v>
      </c>
      <c r="E43">
        <v>8.89</v>
      </c>
      <c r="F43">
        <v>2</v>
      </c>
      <c r="G43">
        <v>1.92</v>
      </c>
      <c r="K43">
        <v>13</v>
      </c>
      <c r="L43">
        <v>7312</v>
      </c>
      <c r="M43">
        <v>310</v>
      </c>
      <c r="N43">
        <v>25.85</v>
      </c>
      <c r="O43">
        <v>3</v>
      </c>
      <c r="P43">
        <v>2.5</v>
      </c>
    </row>
    <row r="44" spans="2:26">
      <c r="B44">
        <v>12</v>
      </c>
      <c r="C44">
        <v>6820</v>
      </c>
      <c r="D44">
        <v>248</v>
      </c>
      <c r="E44">
        <v>8.89</v>
      </c>
      <c r="F44">
        <v>2</v>
      </c>
      <c r="G44">
        <v>1.92</v>
      </c>
      <c r="K44">
        <v>13</v>
      </c>
      <c r="L44">
        <v>7313</v>
      </c>
      <c r="M44">
        <v>311</v>
      </c>
      <c r="N44">
        <v>25.85</v>
      </c>
      <c r="O44">
        <v>3</v>
      </c>
      <c r="P44">
        <v>2.5</v>
      </c>
    </row>
    <row r="45" spans="2:26">
      <c r="B45">
        <v>12</v>
      </c>
      <c r="C45">
        <v>6821</v>
      </c>
      <c r="D45">
        <v>249</v>
      </c>
      <c r="E45">
        <v>8.89</v>
      </c>
      <c r="F45">
        <v>2</v>
      </c>
      <c r="G45">
        <v>1.92</v>
      </c>
      <c r="J45" s="6">
        <v>45895</v>
      </c>
      <c r="K45">
        <v>10</v>
      </c>
      <c r="L45">
        <v>7375</v>
      </c>
      <c r="M45">
        <v>312</v>
      </c>
      <c r="N45">
        <v>12.44</v>
      </c>
      <c r="O45">
        <v>2</v>
      </c>
      <c r="P45">
        <v>2.0499999999999998</v>
      </c>
    </row>
    <row r="46" spans="2:26">
      <c r="B46">
        <v>12</v>
      </c>
      <c r="C46">
        <v>6822</v>
      </c>
      <c r="D46">
        <v>250</v>
      </c>
      <c r="E46">
        <v>8.89</v>
      </c>
      <c r="F46">
        <v>2</v>
      </c>
      <c r="G46">
        <v>1.92</v>
      </c>
      <c r="K46">
        <v>10</v>
      </c>
      <c r="L46">
        <v>7376</v>
      </c>
      <c r="M46">
        <v>313</v>
      </c>
      <c r="N46">
        <v>12.44</v>
      </c>
      <c r="O46">
        <v>2</v>
      </c>
      <c r="P46">
        <v>2.0499999999999998</v>
      </c>
    </row>
    <row r="47" spans="2:26">
      <c r="B47">
        <v>12</v>
      </c>
      <c r="C47">
        <v>6823</v>
      </c>
      <c r="D47">
        <v>251</v>
      </c>
      <c r="E47">
        <v>8.89</v>
      </c>
      <c r="F47">
        <v>2</v>
      </c>
      <c r="G47">
        <v>1.92</v>
      </c>
      <c r="K47">
        <v>10</v>
      </c>
      <c r="L47">
        <v>7377</v>
      </c>
      <c r="M47">
        <v>314</v>
      </c>
      <c r="N47">
        <v>12.44</v>
      </c>
      <c r="O47">
        <v>2</v>
      </c>
      <c r="P47">
        <v>2.0499999999999998</v>
      </c>
    </row>
    <row r="48" spans="2:26">
      <c r="B48">
        <v>13</v>
      </c>
      <c r="C48">
        <v>6824</v>
      </c>
      <c r="D48">
        <v>252</v>
      </c>
      <c r="E48">
        <v>7.68</v>
      </c>
      <c r="F48">
        <v>3</v>
      </c>
      <c r="G48">
        <v>2.5</v>
      </c>
      <c r="K48">
        <v>10</v>
      </c>
      <c r="L48">
        <v>7378</v>
      </c>
      <c r="M48">
        <v>315</v>
      </c>
      <c r="N48">
        <v>12.44</v>
      </c>
      <c r="O48">
        <v>2</v>
      </c>
      <c r="P48">
        <v>2.0499999999999998</v>
      </c>
    </row>
    <row r="49" spans="2:16">
      <c r="B49">
        <v>13</v>
      </c>
      <c r="C49">
        <v>6825</v>
      </c>
      <c r="D49">
        <v>253</v>
      </c>
      <c r="E49">
        <v>7.68</v>
      </c>
      <c r="F49">
        <v>3</v>
      </c>
      <c r="G49">
        <v>2.5</v>
      </c>
      <c r="K49">
        <v>11</v>
      </c>
      <c r="L49">
        <v>7379</v>
      </c>
      <c r="M49">
        <v>316</v>
      </c>
      <c r="N49">
        <v>13.59</v>
      </c>
      <c r="O49">
        <v>2</v>
      </c>
      <c r="P49">
        <v>2.29</v>
      </c>
    </row>
    <row r="50" spans="2:16">
      <c r="B50">
        <v>13</v>
      </c>
      <c r="C50">
        <v>6826</v>
      </c>
      <c r="D50">
        <v>254</v>
      </c>
      <c r="E50">
        <v>7.68</v>
      </c>
      <c r="F50">
        <v>3</v>
      </c>
      <c r="G50">
        <v>2.5</v>
      </c>
      <c r="K50">
        <v>11</v>
      </c>
      <c r="L50">
        <v>7380</v>
      </c>
      <c r="M50">
        <v>317</v>
      </c>
      <c r="N50">
        <v>13.59</v>
      </c>
      <c r="O50">
        <v>2</v>
      </c>
      <c r="P50">
        <v>2.29</v>
      </c>
    </row>
    <row r="51" spans="2:16">
      <c r="B51">
        <v>13</v>
      </c>
      <c r="C51">
        <v>6827</v>
      </c>
      <c r="D51">
        <v>255</v>
      </c>
      <c r="E51">
        <v>7.68</v>
      </c>
      <c r="F51">
        <v>3</v>
      </c>
      <c r="G51">
        <v>2.5</v>
      </c>
      <c r="K51">
        <v>11</v>
      </c>
      <c r="L51">
        <v>7381</v>
      </c>
      <c r="M51">
        <v>318</v>
      </c>
      <c r="N51">
        <v>13.59</v>
      </c>
      <c r="O51">
        <v>2</v>
      </c>
      <c r="P51">
        <v>2.29</v>
      </c>
    </row>
    <row r="52" spans="2:16">
      <c r="B52">
        <v>13</v>
      </c>
      <c r="C52">
        <v>6828</v>
      </c>
      <c r="D52">
        <v>256</v>
      </c>
      <c r="E52">
        <v>7.68</v>
      </c>
      <c r="F52">
        <v>3</v>
      </c>
      <c r="G52">
        <v>2.5</v>
      </c>
      <c r="K52">
        <v>11</v>
      </c>
      <c r="L52">
        <v>7382</v>
      </c>
      <c r="M52">
        <v>319</v>
      </c>
      <c r="N52">
        <v>13.59</v>
      </c>
      <c r="O52">
        <v>2</v>
      </c>
      <c r="P52">
        <v>2.29</v>
      </c>
    </row>
    <row r="53" spans="2:16">
      <c r="B53">
        <v>13</v>
      </c>
      <c r="C53">
        <v>6829</v>
      </c>
      <c r="D53">
        <v>257</v>
      </c>
      <c r="E53">
        <v>7.68</v>
      </c>
      <c r="F53">
        <v>3</v>
      </c>
      <c r="G53">
        <v>2.5</v>
      </c>
      <c r="K53">
        <v>12</v>
      </c>
      <c r="L53">
        <v>7383</v>
      </c>
      <c r="M53">
        <v>320</v>
      </c>
      <c r="N53">
        <v>14.31</v>
      </c>
      <c r="O53">
        <v>2</v>
      </c>
      <c r="P53">
        <v>1.92</v>
      </c>
    </row>
    <row r="54" spans="2:16">
      <c r="B54">
        <v>13</v>
      </c>
      <c r="C54">
        <v>6830</v>
      </c>
      <c r="D54">
        <v>258</v>
      </c>
      <c r="E54">
        <v>7.68</v>
      </c>
      <c r="F54">
        <v>3</v>
      </c>
      <c r="G54">
        <v>2.5</v>
      </c>
      <c r="K54">
        <v>12</v>
      </c>
      <c r="L54">
        <v>7384</v>
      </c>
      <c r="M54">
        <v>321</v>
      </c>
      <c r="N54">
        <v>14.31</v>
      </c>
      <c r="O54">
        <v>2</v>
      </c>
      <c r="P54">
        <v>1.92</v>
      </c>
    </row>
    <row r="55" spans="2:16">
      <c r="B55">
        <v>13</v>
      </c>
      <c r="C55">
        <v>6831</v>
      </c>
      <c r="D55">
        <v>259</v>
      </c>
      <c r="E55">
        <v>7.68</v>
      </c>
      <c r="F55">
        <v>3</v>
      </c>
      <c r="G55">
        <v>2.5</v>
      </c>
      <c r="K55">
        <v>12</v>
      </c>
      <c r="L55">
        <v>7385</v>
      </c>
      <c r="M55">
        <v>322</v>
      </c>
      <c r="N55">
        <v>14.31</v>
      </c>
      <c r="O55">
        <v>2</v>
      </c>
      <c r="P55">
        <v>1.92</v>
      </c>
    </row>
    <row r="56" spans="2:16">
      <c r="B56">
        <v>13</v>
      </c>
      <c r="C56">
        <v>6832</v>
      </c>
      <c r="D56">
        <v>260</v>
      </c>
      <c r="E56">
        <v>7.68</v>
      </c>
      <c r="F56">
        <v>3</v>
      </c>
      <c r="G56">
        <v>2.5</v>
      </c>
      <c r="K56">
        <v>12</v>
      </c>
      <c r="L56">
        <v>7386</v>
      </c>
      <c r="M56">
        <v>323</v>
      </c>
      <c r="N56">
        <v>14.31</v>
      </c>
      <c r="O56">
        <v>2</v>
      </c>
      <c r="P56">
        <v>1.92</v>
      </c>
    </row>
    <row r="57" spans="2:16">
      <c r="B57">
        <v>13</v>
      </c>
      <c r="C57">
        <v>6833</v>
      </c>
      <c r="D57">
        <v>261</v>
      </c>
      <c r="E57">
        <v>7.68</v>
      </c>
      <c r="F57">
        <v>3</v>
      </c>
      <c r="G57">
        <v>2.5</v>
      </c>
      <c r="K57">
        <v>13</v>
      </c>
      <c r="L57">
        <v>7387</v>
      </c>
      <c r="M57">
        <v>324</v>
      </c>
      <c r="N57">
        <v>5.62</v>
      </c>
      <c r="O57">
        <v>3</v>
      </c>
      <c r="P57">
        <v>2.5</v>
      </c>
    </row>
    <row r="58" spans="2:16">
      <c r="B58">
        <v>13</v>
      </c>
      <c r="C58">
        <v>6834</v>
      </c>
      <c r="D58">
        <v>262</v>
      </c>
      <c r="E58">
        <v>7.68</v>
      </c>
      <c r="F58">
        <v>3</v>
      </c>
      <c r="G58">
        <v>2.5</v>
      </c>
      <c r="K58">
        <v>13</v>
      </c>
      <c r="L58">
        <v>7388</v>
      </c>
      <c r="M58">
        <v>325</v>
      </c>
      <c r="N58">
        <v>5.62</v>
      </c>
      <c r="O58">
        <v>3</v>
      </c>
      <c r="P58">
        <v>2.5</v>
      </c>
    </row>
    <row r="59" spans="2:16">
      <c r="B59">
        <v>13</v>
      </c>
      <c r="C59">
        <v>6835</v>
      </c>
      <c r="D59">
        <v>263</v>
      </c>
      <c r="E59">
        <v>7.68</v>
      </c>
      <c r="F59">
        <v>3</v>
      </c>
      <c r="G59">
        <v>2.5</v>
      </c>
      <c r="K59">
        <v>13</v>
      </c>
      <c r="L59">
        <v>7389</v>
      </c>
      <c r="M59">
        <v>326</v>
      </c>
      <c r="N59">
        <v>5.62</v>
      </c>
      <c r="O59">
        <v>3</v>
      </c>
      <c r="P59">
        <v>2.5</v>
      </c>
    </row>
    <row r="60" spans="2:16">
      <c r="B60">
        <v>13</v>
      </c>
      <c r="C60">
        <v>6836</v>
      </c>
      <c r="D60">
        <v>264</v>
      </c>
      <c r="E60">
        <v>7.68</v>
      </c>
      <c r="F60">
        <v>3</v>
      </c>
      <c r="G60">
        <v>2.5</v>
      </c>
      <c r="K60">
        <v>13</v>
      </c>
      <c r="L60">
        <v>7390</v>
      </c>
      <c r="M60">
        <v>327</v>
      </c>
      <c r="N60">
        <v>5.62</v>
      </c>
      <c r="O60">
        <v>3</v>
      </c>
      <c r="P60">
        <v>2.5</v>
      </c>
    </row>
    <row r="61" spans="2:16">
      <c r="B61">
        <v>13</v>
      </c>
      <c r="C61">
        <v>6837</v>
      </c>
      <c r="D61">
        <v>265</v>
      </c>
      <c r="E61">
        <v>7.68</v>
      </c>
      <c r="F61">
        <v>3</v>
      </c>
      <c r="G61">
        <v>2.5</v>
      </c>
    </row>
    <row r="62" spans="2:16">
      <c r="B62">
        <v>13</v>
      </c>
      <c r="C62">
        <v>6838</v>
      </c>
      <c r="D62">
        <v>266</v>
      </c>
      <c r="E62">
        <v>7.68</v>
      </c>
      <c r="F62">
        <v>3</v>
      </c>
      <c r="G62">
        <v>2.5</v>
      </c>
    </row>
    <row r="63" spans="2:16">
      <c r="B63">
        <v>13</v>
      </c>
      <c r="C63">
        <v>6839</v>
      </c>
      <c r="D63">
        <v>267</v>
      </c>
      <c r="E63">
        <v>7.68</v>
      </c>
      <c r="F63">
        <v>3</v>
      </c>
      <c r="G63">
        <v>2.5</v>
      </c>
    </row>
    <row r="64" spans="2:16">
      <c r="B64">
        <v>13</v>
      </c>
      <c r="C64">
        <v>6840</v>
      </c>
      <c r="D64">
        <v>268</v>
      </c>
      <c r="E64">
        <v>7.68</v>
      </c>
      <c r="F64">
        <v>3</v>
      </c>
      <c r="G64">
        <v>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AF383-B143-4B5F-87AB-814863732EB1}">
  <dimension ref="A1:AU90"/>
  <sheetViews>
    <sheetView topLeftCell="S1" workbookViewId="0">
      <selection activeCell="AV52" sqref="AV52"/>
    </sheetView>
  </sheetViews>
  <sheetFormatPr defaultRowHeight="15"/>
  <cols>
    <col min="2" max="2" width="11" customWidth="1"/>
    <col min="11" max="11" width="9.5703125" bestFit="1" customWidth="1"/>
    <col min="21" max="21" width="9.5703125" bestFit="1" customWidth="1"/>
    <col min="41" max="41" width="9.5703125" bestFit="1" customWidth="1"/>
  </cols>
  <sheetData>
    <row r="1" spans="1:47">
      <c r="A1" s="1" t="s">
        <v>21</v>
      </c>
      <c r="B1" s="1" t="s">
        <v>22</v>
      </c>
      <c r="C1" s="1" t="s">
        <v>29</v>
      </c>
      <c r="D1" s="1" t="s">
        <v>23</v>
      </c>
      <c r="E1" s="1" t="s">
        <v>24</v>
      </c>
      <c r="F1" s="1" t="s">
        <v>25</v>
      </c>
      <c r="G1" s="1" t="s">
        <v>26</v>
      </c>
      <c r="K1" s="1" t="s">
        <v>21</v>
      </c>
      <c r="L1" s="1" t="s">
        <v>22</v>
      </c>
      <c r="M1" s="1" t="s">
        <v>29</v>
      </c>
      <c r="N1" s="1" t="s">
        <v>23</v>
      </c>
      <c r="O1" s="1" t="s">
        <v>24</v>
      </c>
      <c r="P1" s="1" t="s">
        <v>25</v>
      </c>
      <c r="Q1" s="1" t="s">
        <v>26</v>
      </c>
      <c r="U1" s="1" t="s">
        <v>21</v>
      </c>
      <c r="V1" s="1" t="s">
        <v>22</v>
      </c>
      <c r="W1" s="1" t="s">
        <v>29</v>
      </c>
      <c r="X1" s="1" t="s">
        <v>23</v>
      </c>
      <c r="Y1" s="1" t="s">
        <v>24</v>
      </c>
      <c r="Z1" s="1" t="s">
        <v>25</v>
      </c>
      <c r="AA1" s="1" t="s">
        <v>26</v>
      </c>
      <c r="AE1" s="1" t="s">
        <v>21</v>
      </c>
      <c r="AF1" s="1" t="s">
        <v>22</v>
      </c>
      <c r="AG1" s="1" t="s">
        <v>29</v>
      </c>
      <c r="AH1" s="1" t="s">
        <v>23</v>
      </c>
      <c r="AI1" s="1" t="s">
        <v>24</v>
      </c>
      <c r="AJ1" s="1" t="s">
        <v>25</v>
      </c>
      <c r="AK1" s="1" t="s">
        <v>26</v>
      </c>
      <c r="AO1" s="1" t="s">
        <v>21</v>
      </c>
      <c r="AP1" s="1" t="s">
        <v>22</v>
      </c>
      <c r="AQ1" s="1" t="s">
        <v>29</v>
      </c>
      <c r="AR1" s="1" t="s">
        <v>23</v>
      </c>
      <c r="AS1" s="1" t="s">
        <v>24</v>
      </c>
      <c r="AT1" s="1" t="s">
        <v>25</v>
      </c>
      <c r="AU1" s="1" t="s">
        <v>26</v>
      </c>
    </row>
    <row r="2" spans="1:47">
      <c r="A2" s="6">
        <v>45948</v>
      </c>
      <c r="B2" s="12">
        <v>14</v>
      </c>
      <c r="C2" s="12">
        <v>7987</v>
      </c>
      <c r="D2" s="12">
        <v>361</v>
      </c>
      <c r="E2" s="12">
        <v>17.5</v>
      </c>
      <c r="F2" s="12">
        <v>1</v>
      </c>
      <c r="G2" s="12">
        <v>2.0699999999999998</v>
      </c>
      <c r="K2" s="7">
        <v>45618</v>
      </c>
      <c r="L2" s="12">
        <v>14</v>
      </c>
      <c r="M2" s="12">
        <v>8301</v>
      </c>
      <c r="N2" s="12">
        <v>437</v>
      </c>
      <c r="O2" s="12">
        <v>0</v>
      </c>
      <c r="P2" s="12">
        <v>1</v>
      </c>
      <c r="Q2" s="12">
        <v>2.0699999999999998</v>
      </c>
      <c r="U2" s="7">
        <v>45623</v>
      </c>
      <c r="V2" s="15">
        <v>14</v>
      </c>
      <c r="W2" s="15">
        <v>8452</v>
      </c>
      <c r="X2" s="15">
        <v>522</v>
      </c>
      <c r="Y2" s="15">
        <v>61.42</v>
      </c>
      <c r="Z2" s="15">
        <v>1</v>
      </c>
      <c r="AA2" s="15">
        <v>2.0699999999999998</v>
      </c>
      <c r="AE2" s="7">
        <v>45632</v>
      </c>
      <c r="AF2" s="25">
        <v>14</v>
      </c>
      <c r="AG2" s="25">
        <v>8598</v>
      </c>
      <c r="AH2" s="25">
        <v>611</v>
      </c>
      <c r="AI2" s="25">
        <v>0.18</v>
      </c>
      <c r="AJ2" s="25">
        <v>1</v>
      </c>
      <c r="AK2" s="25">
        <v>2.0699999999999998</v>
      </c>
      <c r="AO2" s="7">
        <v>45636</v>
      </c>
      <c r="AP2" s="25">
        <v>14</v>
      </c>
      <c r="AQ2" s="25">
        <v>8684</v>
      </c>
      <c r="AR2" s="25">
        <v>690</v>
      </c>
      <c r="AS2" s="25">
        <v>27.75</v>
      </c>
      <c r="AT2" s="25">
        <v>1</v>
      </c>
      <c r="AU2" s="25">
        <v>2.0499999999999998</v>
      </c>
    </row>
    <row r="3" spans="1:47">
      <c r="B3">
        <v>14</v>
      </c>
      <c r="C3">
        <v>7988</v>
      </c>
      <c r="D3" s="12">
        <v>362</v>
      </c>
      <c r="E3">
        <v>17.5</v>
      </c>
      <c r="F3">
        <v>1</v>
      </c>
      <c r="G3">
        <v>2.0699999999999998</v>
      </c>
      <c r="L3">
        <v>14</v>
      </c>
      <c r="M3">
        <v>8302</v>
      </c>
      <c r="N3" s="12">
        <v>438</v>
      </c>
      <c r="O3">
        <v>0</v>
      </c>
      <c r="P3">
        <v>1</v>
      </c>
      <c r="Q3">
        <v>2.0699999999999998</v>
      </c>
      <c r="V3">
        <v>14</v>
      </c>
      <c r="W3">
        <v>8453</v>
      </c>
      <c r="X3" s="15">
        <v>523</v>
      </c>
      <c r="Y3">
        <v>61.42</v>
      </c>
      <c r="Z3">
        <v>1</v>
      </c>
      <c r="AA3">
        <v>2.0699999999999998</v>
      </c>
      <c r="AF3">
        <v>14</v>
      </c>
      <c r="AG3">
        <v>8599</v>
      </c>
      <c r="AH3" s="25">
        <v>612</v>
      </c>
      <c r="AI3">
        <v>0.18</v>
      </c>
      <c r="AJ3">
        <v>1</v>
      </c>
      <c r="AK3" s="25">
        <v>2.0699999999999998</v>
      </c>
      <c r="AP3">
        <v>14</v>
      </c>
      <c r="AQ3">
        <v>8685</v>
      </c>
      <c r="AR3" s="25">
        <v>691</v>
      </c>
      <c r="AS3">
        <v>27.75</v>
      </c>
      <c r="AT3">
        <v>1</v>
      </c>
      <c r="AU3">
        <v>2.0499999999999998</v>
      </c>
    </row>
    <row r="4" spans="1:47">
      <c r="B4">
        <v>14</v>
      </c>
      <c r="C4">
        <v>7989</v>
      </c>
      <c r="D4" s="12">
        <v>363</v>
      </c>
      <c r="E4">
        <v>17.5</v>
      </c>
      <c r="F4">
        <v>1</v>
      </c>
      <c r="G4">
        <v>2.0699999999999998</v>
      </c>
      <c r="L4">
        <v>14</v>
      </c>
      <c r="M4">
        <v>8303</v>
      </c>
      <c r="N4" s="12">
        <v>439</v>
      </c>
      <c r="O4">
        <v>0</v>
      </c>
      <c r="P4">
        <v>1</v>
      </c>
      <c r="Q4">
        <v>2.0699999999999998</v>
      </c>
      <c r="V4">
        <v>14</v>
      </c>
      <c r="W4">
        <v>8454</v>
      </c>
      <c r="X4" s="15">
        <v>524</v>
      </c>
      <c r="Y4">
        <v>61.42</v>
      </c>
      <c r="Z4">
        <v>1</v>
      </c>
      <c r="AA4">
        <v>2.0699999999999998</v>
      </c>
      <c r="AF4">
        <v>14</v>
      </c>
      <c r="AG4">
        <v>8600</v>
      </c>
      <c r="AH4" s="25">
        <v>613</v>
      </c>
      <c r="AI4">
        <v>0.18</v>
      </c>
      <c r="AJ4">
        <v>1</v>
      </c>
      <c r="AK4" s="25">
        <v>2.0699999999999998</v>
      </c>
      <c r="AP4">
        <v>14</v>
      </c>
      <c r="AQ4">
        <v>8686</v>
      </c>
      <c r="AR4" s="25">
        <v>692</v>
      </c>
      <c r="AS4">
        <v>27.75</v>
      </c>
      <c r="AT4">
        <v>1</v>
      </c>
      <c r="AU4">
        <v>2.0499999999999998</v>
      </c>
    </row>
    <row r="5" spans="1:47">
      <c r="B5">
        <v>14</v>
      </c>
      <c r="C5">
        <v>7990</v>
      </c>
      <c r="D5" s="12">
        <v>364</v>
      </c>
      <c r="E5">
        <v>17.5</v>
      </c>
      <c r="F5">
        <v>1</v>
      </c>
      <c r="G5">
        <v>2.0699999999999998</v>
      </c>
      <c r="L5">
        <v>14</v>
      </c>
      <c r="M5">
        <v>8304</v>
      </c>
      <c r="N5" s="12">
        <v>440</v>
      </c>
      <c r="O5">
        <v>0</v>
      </c>
      <c r="P5">
        <v>1</v>
      </c>
      <c r="Q5">
        <v>2.0699999999999998</v>
      </c>
      <c r="V5">
        <v>14</v>
      </c>
      <c r="W5">
        <v>8455</v>
      </c>
      <c r="X5" s="15">
        <v>525</v>
      </c>
      <c r="Y5">
        <v>61.42</v>
      </c>
      <c r="Z5">
        <v>1</v>
      </c>
      <c r="AA5">
        <v>2.0699999999999998</v>
      </c>
      <c r="AF5">
        <v>14</v>
      </c>
      <c r="AG5">
        <v>8601</v>
      </c>
      <c r="AH5" s="25">
        <v>614</v>
      </c>
      <c r="AI5">
        <v>0.18</v>
      </c>
      <c r="AJ5">
        <v>1</v>
      </c>
      <c r="AK5" s="25">
        <v>2.0699999999999998</v>
      </c>
      <c r="AP5">
        <v>14</v>
      </c>
      <c r="AQ5">
        <v>8687</v>
      </c>
      <c r="AR5" s="25">
        <v>693</v>
      </c>
      <c r="AS5">
        <v>27.75</v>
      </c>
      <c r="AT5">
        <v>1</v>
      </c>
      <c r="AU5">
        <v>2.0499999999999998</v>
      </c>
    </row>
    <row r="6" spans="1:47">
      <c r="B6">
        <v>14</v>
      </c>
      <c r="C6">
        <v>7991</v>
      </c>
      <c r="D6" s="12">
        <v>365</v>
      </c>
      <c r="E6">
        <v>17.5</v>
      </c>
      <c r="F6">
        <v>1</v>
      </c>
      <c r="G6">
        <v>2.0699999999999998</v>
      </c>
      <c r="L6">
        <v>14</v>
      </c>
      <c r="M6">
        <v>8305</v>
      </c>
      <c r="N6" s="12">
        <v>441</v>
      </c>
      <c r="O6">
        <v>0</v>
      </c>
      <c r="P6">
        <v>1</v>
      </c>
      <c r="Q6">
        <v>2.0699999999999998</v>
      </c>
      <c r="V6">
        <v>14</v>
      </c>
      <c r="W6">
        <v>8456</v>
      </c>
      <c r="X6" s="15">
        <v>526</v>
      </c>
      <c r="Y6">
        <v>61.42</v>
      </c>
      <c r="Z6">
        <v>1</v>
      </c>
      <c r="AA6">
        <v>2.0699999999999998</v>
      </c>
      <c r="AF6">
        <v>14</v>
      </c>
      <c r="AG6">
        <v>8602</v>
      </c>
      <c r="AH6" s="25">
        <v>615</v>
      </c>
      <c r="AI6">
        <v>0.18</v>
      </c>
      <c r="AJ6">
        <v>1</v>
      </c>
      <c r="AK6" s="25">
        <v>2.0699999999999998</v>
      </c>
      <c r="AP6">
        <v>14</v>
      </c>
      <c r="AQ6">
        <v>8688</v>
      </c>
      <c r="AR6" s="25">
        <v>694</v>
      </c>
      <c r="AS6">
        <v>27.75</v>
      </c>
      <c r="AT6">
        <v>1</v>
      </c>
      <c r="AU6">
        <v>2.0499999999999998</v>
      </c>
    </row>
    <row r="7" spans="1:47">
      <c r="B7">
        <v>14</v>
      </c>
      <c r="C7">
        <v>7992</v>
      </c>
      <c r="D7" s="12">
        <v>366</v>
      </c>
      <c r="E7">
        <v>17.5</v>
      </c>
      <c r="F7">
        <v>1</v>
      </c>
      <c r="G7">
        <v>2.0699999999999998</v>
      </c>
      <c r="L7">
        <v>14</v>
      </c>
      <c r="M7">
        <v>8306</v>
      </c>
      <c r="N7" s="12">
        <v>442</v>
      </c>
      <c r="O7">
        <v>0</v>
      </c>
      <c r="P7">
        <v>1</v>
      </c>
      <c r="Q7">
        <v>2.0699999999999998</v>
      </c>
      <c r="V7">
        <v>14</v>
      </c>
      <c r="W7">
        <v>8457</v>
      </c>
      <c r="X7" s="15">
        <v>527</v>
      </c>
      <c r="Y7">
        <v>61.42</v>
      </c>
      <c r="Z7">
        <v>1</v>
      </c>
      <c r="AA7">
        <v>2.0699999999999998</v>
      </c>
      <c r="AF7">
        <v>14</v>
      </c>
      <c r="AG7">
        <v>8603</v>
      </c>
      <c r="AH7" s="25">
        <v>616</v>
      </c>
      <c r="AI7">
        <v>0.18</v>
      </c>
      <c r="AJ7">
        <v>1</v>
      </c>
      <c r="AK7" s="25">
        <v>2.0699999999999998</v>
      </c>
      <c r="AP7" s="15">
        <v>15</v>
      </c>
      <c r="AQ7" s="15">
        <v>8689</v>
      </c>
      <c r="AR7" s="25">
        <v>695</v>
      </c>
      <c r="AS7" s="15">
        <v>39.6</v>
      </c>
      <c r="AT7" s="15">
        <v>1</v>
      </c>
      <c r="AU7" s="15">
        <v>1.75</v>
      </c>
    </row>
    <row r="8" spans="1:47">
      <c r="B8">
        <v>14</v>
      </c>
      <c r="C8">
        <v>7993</v>
      </c>
      <c r="D8" s="12">
        <v>367</v>
      </c>
      <c r="E8">
        <v>17.5</v>
      </c>
      <c r="F8">
        <v>1</v>
      </c>
      <c r="G8">
        <v>2.0699999999999998</v>
      </c>
      <c r="L8">
        <v>14</v>
      </c>
      <c r="M8">
        <v>8307</v>
      </c>
      <c r="N8" s="12">
        <v>443</v>
      </c>
      <c r="O8">
        <v>0</v>
      </c>
      <c r="P8">
        <v>1</v>
      </c>
      <c r="Q8">
        <v>2.0699999999999998</v>
      </c>
      <c r="V8" s="12">
        <v>15</v>
      </c>
      <c r="W8" s="12">
        <v>8458</v>
      </c>
      <c r="X8" s="15">
        <v>528</v>
      </c>
      <c r="Y8" s="12">
        <v>63.76</v>
      </c>
      <c r="Z8" s="12">
        <v>1</v>
      </c>
      <c r="AA8" s="12">
        <v>1.75</v>
      </c>
      <c r="AF8" s="12">
        <v>15</v>
      </c>
      <c r="AG8" s="12">
        <v>8604</v>
      </c>
      <c r="AH8" s="25">
        <v>617</v>
      </c>
      <c r="AI8" s="12">
        <v>0.21</v>
      </c>
      <c r="AJ8" s="12">
        <v>1</v>
      </c>
      <c r="AK8" s="12">
        <v>1.75</v>
      </c>
      <c r="AP8">
        <v>15</v>
      </c>
      <c r="AQ8">
        <v>8690</v>
      </c>
      <c r="AR8" s="25">
        <v>696</v>
      </c>
      <c r="AS8">
        <v>39.6</v>
      </c>
      <c r="AT8">
        <v>1</v>
      </c>
      <c r="AU8">
        <v>1.75</v>
      </c>
    </row>
    <row r="9" spans="1:47">
      <c r="B9">
        <v>14</v>
      </c>
      <c r="C9">
        <v>8004</v>
      </c>
      <c r="D9" s="12">
        <v>368</v>
      </c>
      <c r="E9">
        <v>17.5</v>
      </c>
      <c r="F9">
        <v>1</v>
      </c>
      <c r="G9">
        <v>2.0699999999999998</v>
      </c>
      <c r="L9">
        <v>14</v>
      </c>
      <c r="M9">
        <v>8308</v>
      </c>
      <c r="N9" s="12">
        <v>444</v>
      </c>
      <c r="O9">
        <v>0</v>
      </c>
      <c r="P9">
        <v>1</v>
      </c>
      <c r="Q9">
        <v>2.0699999999999998</v>
      </c>
      <c r="V9">
        <v>15</v>
      </c>
      <c r="W9">
        <v>8459</v>
      </c>
      <c r="X9" s="15">
        <v>529</v>
      </c>
      <c r="Y9">
        <v>63.76</v>
      </c>
      <c r="Z9">
        <v>1</v>
      </c>
      <c r="AA9">
        <v>1.75</v>
      </c>
      <c r="AF9">
        <v>15</v>
      </c>
      <c r="AG9">
        <v>8605</v>
      </c>
      <c r="AH9" s="25">
        <v>618</v>
      </c>
      <c r="AI9">
        <v>0.21</v>
      </c>
      <c r="AJ9">
        <v>1</v>
      </c>
      <c r="AK9" s="12">
        <v>1.75</v>
      </c>
      <c r="AP9">
        <v>15</v>
      </c>
      <c r="AQ9">
        <v>8691</v>
      </c>
      <c r="AR9" s="25">
        <v>697</v>
      </c>
      <c r="AS9">
        <v>39.6</v>
      </c>
      <c r="AT9">
        <v>1</v>
      </c>
      <c r="AU9">
        <v>1.75</v>
      </c>
    </row>
    <row r="10" spans="1:47">
      <c r="B10">
        <v>14</v>
      </c>
      <c r="C10">
        <v>8005</v>
      </c>
      <c r="D10" s="12">
        <v>369</v>
      </c>
      <c r="E10">
        <v>17.5</v>
      </c>
      <c r="F10">
        <v>1</v>
      </c>
      <c r="G10">
        <v>2.0699999999999998</v>
      </c>
      <c r="L10" s="15">
        <v>15</v>
      </c>
      <c r="M10" s="15">
        <v>8309</v>
      </c>
      <c r="N10" s="12">
        <v>445</v>
      </c>
      <c r="O10" s="15">
        <v>0</v>
      </c>
      <c r="P10" s="15">
        <v>1</v>
      </c>
      <c r="Q10" s="15">
        <v>1.75</v>
      </c>
      <c r="V10">
        <v>15</v>
      </c>
      <c r="W10">
        <v>8460</v>
      </c>
      <c r="X10" s="15">
        <v>530</v>
      </c>
      <c r="Y10">
        <v>63.76</v>
      </c>
      <c r="Z10">
        <v>1</v>
      </c>
      <c r="AA10">
        <v>1.75</v>
      </c>
      <c r="AF10">
        <v>15</v>
      </c>
      <c r="AG10">
        <v>8606</v>
      </c>
      <c r="AH10" s="25">
        <v>619</v>
      </c>
      <c r="AI10">
        <v>0.21</v>
      </c>
      <c r="AJ10">
        <v>1</v>
      </c>
      <c r="AK10" s="12">
        <v>1.75</v>
      </c>
      <c r="AP10">
        <v>15</v>
      </c>
      <c r="AQ10">
        <v>8692</v>
      </c>
      <c r="AR10" s="25">
        <v>698</v>
      </c>
      <c r="AS10">
        <v>39.6</v>
      </c>
      <c r="AT10">
        <v>1</v>
      </c>
      <c r="AU10">
        <v>1.75</v>
      </c>
    </row>
    <row r="11" spans="1:47">
      <c r="B11">
        <v>14</v>
      </c>
      <c r="C11">
        <v>8006</v>
      </c>
      <c r="D11" s="12">
        <v>370</v>
      </c>
      <c r="E11">
        <v>17.5</v>
      </c>
      <c r="F11">
        <v>1</v>
      </c>
      <c r="G11">
        <v>2.0699999999999998</v>
      </c>
      <c r="L11">
        <v>15</v>
      </c>
      <c r="M11">
        <v>8310</v>
      </c>
      <c r="N11" s="12">
        <v>446</v>
      </c>
      <c r="O11">
        <v>0</v>
      </c>
      <c r="P11">
        <v>1</v>
      </c>
      <c r="Q11">
        <v>1.75</v>
      </c>
      <c r="V11">
        <v>15</v>
      </c>
      <c r="W11">
        <v>8461</v>
      </c>
      <c r="X11" s="15">
        <v>531</v>
      </c>
      <c r="Y11">
        <v>63.76</v>
      </c>
      <c r="Z11">
        <v>1</v>
      </c>
      <c r="AA11">
        <v>1.75</v>
      </c>
      <c r="AF11">
        <v>15</v>
      </c>
      <c r="AG11">
        <v>8607</v>
      </c>
      <c r="AH11" s="25">
        <v>620</v>
      </c>
      <c r="AI11">
        <v>0.21</v>
      </c>
      <c r="AJ11">
        <v>1</v>
      </c>
      <c r="AK11" s="12">
        <v>1.75</v>
      </c>
      <c r="AP11">
        <v>15</v>
      </c>
      <c r="AQ11">
        <v>8693</v>
      </c>
      <c r="AR11" s="25">
        <v>699</v>
      </c>
      <c r="AS11">
        <v>39.6</v>
      </c>
      <c r="AT11">
        <v>1</v>
      </c>
      <c r="AU11">
        <v>1.75</v>
      </c>
    </row>
    <row r="12" spans="1:47">
      <c r="B12">
        <v>14</v>
      </c>
      <c r="C12">
        <v>8007</v>
      </c>
      <c r="D12" s="12">
        <v>371</v>
      </c>
      <c r="E12">
        <v>17.5</v>
      </c>
      <c r="F12">
        <v>1</v>
      </c>
      <c r="G12">
        <v>2.0699999999999998</v>
      </c>
      <c r="L12">
        <v>15</v>
      </c>
      <c r="M12">
        <v>8311</v>
      </c>
      <c r="N12" s="12">
        <v>447</v>
      </c>
      <c r="O12">
        <v>0</v>
      </c>
      <c r="P12">
        <v>1</v>
      </c>
      <c r="Q12">
        <v>1.75</v>
      </c>
      <c r="V12">
        <v>15</v>
      </c>
      <c r="W12">
        <v>8462</v>
      </c>
      <c r="X12" s="15">
        <v>532</v>
      </c>
      <c r="Y12">
        <v>63.76</v>
      </c>
      <c r="Z12">
        <v>1</v>
      </c>
      <c r="AA12">
        <v>1.75</v>
      </c>
      <c r="AF12">
        <v>15</v>
      </c>
      <c r="AG12">
        <v>8608</v>
      </c>
      <c r="AH12" s="25">
        <v>621</v>
      </c>
      <c r="AI12">
        <v>0.21</v>
      </c>
      <c r="AJ12">
        <v>1</v>
      </c>
      <c r="AK12" s="12">
        <v>1.75</v>
      </c>
      <c r="AP12" s="26">
        <v>16</v>
      </c>
      <c r="AQ12" s="26">
        <v>8694</v>
      </c>
      <c r="AR12" s="25">
        <v>700</v>
      </c>
      <c r="AS12" s="26">
        <v>39.130000000000003</v>
      </c>
      <c r="AT12" s="26">
        <v>1</v>
      </c>
      <c r="AU12" s="26">
        <v>2.66</v>
      </c>
    </row>
    <row r="13" spans="1:47">
      <c r="B13" s="15">
        <v>15</v>
      </c>
      <c r="C13" s="15">
        <v>8008</v>
      </c>
      <c r="D13" s="12">
        <v>372</v>
      </c>
      <c r="E13" s="15">
        <v>22.3</v>
      </c>
      <c r="F13" s="15">
        <v>1</v>
      </c>
      <c r="G13" s="15">
        <v>1.75</v>
      </c>
      <c r="L13">
        <v>15</v>
      </c>
      <c r="M13">
        <v>8312</v>
      </c>
      <c r="N13" s="12">
        <v>448</v>
      </c>
      <c r="O13">
        <v>0</v>
      </c>
      <c r="P13">
        <v>1</v>
      </c>
      <c r="Q13">
        <v>1.75</v>
      </c>
      <c r="V13">
        <v>15</v>
      </c>
      <c r="W13">
        <v>8463</v>
      </c>
      <c r="X13" s="15">
        <v>533</v>
      </c>
      <c r="Y13">
        <v>63.76</v>
      </c>
      <c r="Z13">
        <v>1</v>
      </c>
      <c r="AA13">
        <v>1.75</v>
      </c>
      <c r="AF13">
        <v>15</v>
      </c>
      <c r="AG13">
        <v>8609</v>
      </c>
      <c r="AH13" s="25">
        <v>622</v>
      </c>
      <c r="AI13">
        <v>0.21</v>
      </c>
      <c r="AJ13">
        <v>1</v>
      </c>
      <c r="AK13" s="12">
        <v>1.75</v>
      </c>
      <c r="AP13">
        <v>16</v>
      </c>
      <c r="AQ13">
        <v>8695</v>
      </c>
      <c r="AR13" s="25">
        <v>701</v>
      </c>
      <c r="AS13">
        <v>39.130000000000003</v>
      </c>
      <c r="AT13">
        <v>1</v>
      </c>
      <c r="AU13">
        <v>2.66</v>
      </c>
    </row>
    <row r="14" spans="1:47">
      <c r="B14">
        <v>15</v>
      </c>
      <c r="C14">
        <v>8009</v>
      </c>
      <c r="D14" s="12">
        <v>373</v>
      </c>
      <c r="E14">
        <v>22.3</v>
      </c>
      <c r="F14">
        <v>1</v>
      </c>
      <c r="G14">
        <v>1.75</v>
      </c>
      <c r="L14">
        <v>15</v>
      </c>
      <c r="M14">
        <v>8313</v>
      </c>
      <c r="N14" s="12">
        <v>449</v>
      </c>
      <c r="O14">
        <v>0</v>
      </c>
      <c r="P14">
        <v>1</v>
      </c>
      <c r="Q14">
        <v>1.75</v>
      </c>
      <c r="V14" s="15">
        <v>16</v>
      </c>
      <c r="W14" s="15">
        <v>8464</v>
      </c>
      <c r="X14" s="15">
        <v>534</v>
      </c>
      <c r="Y14" s="15">
        <v>60.57</v>
      </c>
      <c r="Z14" s="15">
        <v>1</v>
      </c>
      <c r="AA14" s="15">
        <v>2.66</v>
      </c>
      <c r="AF14">
        <v>15</v>
      </c>
      <c r="AG14">
        <v>8610</v>
      </c>
      <c r="AH14" s="25">
        <v>623</v>
      </c>
      <c r="AI14">
        <v>0.21</v>
      </c>
      <c r="AJ14">
        <v>1</v>
      </c>
      <c r="AK14" s="12">
        <v>1.75</v>
      </c>
      <c r="AP14">
        <v>16</v>
      </c>
      <c r="AQ14">
        <v>8696</v>
      </c>
      <c r="AR14" s="25">
        <v>702</v>
      </c>
      <c r="AS14">
        <v>39.130000000000003</v>
      </c>
      <c r="AT14">
        <v>1</v>
      </c>
      <c r="AU14">
        <v>2.66</v>
      </c>
    </row>
    <row r="15" spans="1:47">
      <c r="B15">
        <v>15</v>
      </c>
      <c r="C15">
        <v>8010</v>
      </c>
      <c r="D15" s="12">
        <v>374</v>
      </c>
      <c r="E15">
        <v>22.3</v>
      </c>
      <c r="F15">
        <v>1</v>
      </c>
      <c r="G15">
        <v>1.75</v>
      </c>
      <c r="L15">
        <v>15</v>
      </c>
      <c r="M15">
        <v>8314</v>
      </c>
      <c r="N15" s="12">
        <v>450</v>
      </c>
      <c r="O15">
        <v>0</v>
      </c>
      <c r="P15">
        <v>1</v>
      </c>
      <c r="Q15">
        <v>1.75</v>
      </c>
      <c r="V15">
        <v>16</v>
      </c>
      <c r="W15">
        <v>8465</v>
      </c>
      <c r="X15" s="15">
        <v>535</v>
      </c>
      <c r="Y15">
        <v>60.57</v>
      </c>
      <c r="Z15">
        <v>1</v>
      </c>
      <c r="AA15">
        <v>2.66</v>
      </c>
      <c r="AF15">
        <v>15</v>
      </c>
      <c r="AG15">
        <v>8611</v>
      </c>
      <c r="AH15" s="25">
        <v>624</v>
      </c>
      <c r="AI15">
        <v>0.21</v>
      </c>
      <c r="AJ15">
        <v>1</v>
      </c>
      <c r="AK15" s="12">
        <v>1.75</v>
      </c>
      <c r="AP15">
        <v>16</v>
      </c>
      <c r="AQ15">
        <v>8697</v>
      </c>
      <c r="AR15" s="25">
        <v>703</v>
      </c>
      <c r="AS15">
        <v>39.130000000000003</v>
      </c>
      <c r="AT15">
        <v>1</v>
      </c>
      <c r="AU15">
        <v>2.66</v>
      </c>
    </row>
    <row r="16" spans="1:47">
      <c r="B16">
        <v>15</v>
      </c>
      <c r="C16">
        <v>8011</v>
      </c>
      <c r="D16" s="12">
        <v>375</v>
      </c>
      <c r="E16">
        <v>22.3</v>
      </c>
      <c r="F16">
        <v>1</v>
      </c>
      <c r="G16">
        <v>1.75</v>
      </c>
      <c r="L16" s="12">
        <v>16</v>
      </c>
      <c r="M16" s="12">
        <v>8315</v>
      </c>
      <c r="N16" s="12">
        <v>451</v>
      </c>
      <c r="O16" s="12">
        <v>0</v>
      </c>
      <c r="P16" s="12">
        <v>1</v>
      </c>
      <c r="Q16" s="12">
        <v>2.66</v>
      </c>
      <c r="V16">
        <v>16</v>
      </c>
      <c r="W16">
        <v>8466</v>
      </c>
      <c r="X16" s="15">
        <v>536</v>
      </c>
      <c r="Y16">
        <v>60.57</v>
      </c>
      <c r="Z16">
        <v>1</v>
      </c>
      <c r="AA16">
        <v>2.66</v>
      </c>
      <c r="AF16" s="15">
        <v>16</v>
      </c>
      <c r="AG16" s="15">
        <v>8612</v>
      </c>
      <c r="AH16" s="25">
        <v>625</v>
      </c>
      <c r="AI16" s="15">
        <v>1.65</v>
      </c>
      <c r="AJ16" s="15">
        <v>1</v>
      </c>
      <c r="AK16" s="15">
        <v>2.66</v>
      </c>
      <c r="AP16">
        <v>16</v>
      </c>
      <c r="AQ16">
        <v>8698</v>
      </c>
      <c r="AR16" s="25">
        <v>704</v>
      </c>
      <c r="AS16">
        <v>39.130000000000003</v>
      </c>
      <c r="AT16">
        <v>1</v>
      </c>
      <c r="AU16">
        <v>2.66</v>
      </c>
    </row>
    <row r="17" spans="2:47">
      <c r="B17">
        <v>15</v>
      </c>
      <c r="C17">
        <v>8012</v>
      </c>
      <c r="D17" s="12">
        <v>376</v>
      </c>
      <c r="E17">
        <v>22.3</v>
      </c>
      <c r="F17">
        <v>1</v>
      </c>
      <c r="G17">
        <v>1.75</v>
      </c>
      <c r="L17">
        <v>16</v>
      </c>
      <c r="M17">
        <v>8316</v>
      </c>
      <c r="N17" s="12">
        <v>452</v>
      </c>
      <c r="O17">
        <v>0</v>
      </c>
      <c r="P17">
        <v>1</v>
      </c>
      <c r="Q17">
        <v>2.66</v>
      </c>
      <c r="V17">
        <v>16</v>
      </c>
      <c r="W17">
        <v>8467</v>
      </c>
      <c r="X17" s="15">
        <v>537</v>
      </c>
      <c r="Y17">
        <v>60.57</v>
      </c>
      <c r="Z17">
        <v>1</v>
      </c>
      <c r="AA17">
        <v>2.66</v>
      </c>
      <c r="AF17">
        <v>16</v>
      </c>
      <c r="AG17">
        <v>8613</v>
      </c>
      <c r="AH17" s="25">
        <v>626</v>
      </c>
      <c r="AI17">
        <v>1.65</v>
      </c>
      <c r="AJ17">
        <v>1</v>
      </c>
      <c r="AK17" s="15">
        <v>2.66</v>
      </c>
      <c r="AP17" s="12">
        <v>17</v>
      </c>
      <c r="AQ17" s="12">
        <v>8699</v>
      </c>
      <c r="AR17" s="25">
        <v>705</v>
      </c>
      <c r="AS17" s="12">
        <v>29.25</v>
      </c>
      <c r="AT17" s="12">
        <v>1</v>
      </c>
      <c r="AU17" s="12">
        <v>1.59</v>
      </c>
    </row>
    <row r="18" spans="2:47">
      <c r="B18">
        <v>15</v>
      </c>
      <c r="C18">
        <v>8024</v>
      </c>
      <c r="D18" s="12">
        <v>377</v>
      </c>
      <c r="E18">
        <v>22.3</v>
      </c>
      <c r="F18">
        <v>1</v>
      </c>
      <c r="G18">
        <v>1.75</v>
      </c>
      <c r="L18">
        <v>16</v>
      </c>
      <c r="M18">
        <v>8317</v>
      </c>
      <c r="N18" s="12">
        <v>453</v>
      </c>
      <c r="O18">
        <v>0</v>
      </c>
      <c r="P18">
        <v>1</v>
      </c>
      <c r="Q18">
        <v>2.66</v>
      </c>
      <c r="V18">
        <v>16</v>
      </c>
      <c r="W18">
        <v>8468</v>
      </c>
      <c r="X18" s="15">
        <v>538</v>
      </c>
      <c r="Y18">
        <v>60.57</v>
      </c>
      <c r="Z18">
        <v>1</v>
      </c>
      <c r="AA18">
        <v>2.66</v>
      </c>
      <c r="AF18">
        <v>16</v>
      </c>
      <c r="AG18">
        <v>8614</v>
      </c>
      <c r="AH18" s="25">
        <v>627</v>
      </c>
      <c r="AI18">
        <v>1.65</v>
      </c>
      <c r="AJ18">
        <v>1</v>
      </c>
      <c r="AK18" s="15">
        <v>2.66</v>
      </c>
      <c r="AP18">
        <v>17</v>
      </c>
      <c r="AQ18">
        <v>8700</v>
      </c>
      <c r="AR18" s="25">
        <v>706</v>
      </c>
      <c r="AS18">
        <v>29.25</v>
      </c>
      <c r="AT18">
        <v>1</v>
      </c>
      <c r="AU18">
        <v>1.59</v>
      </c>
    </row>
    <row r="19" spans="2:47">
      <c r="B19">
        <v>15</v>
      </c>
      <c r="C19">
        <v>8025</v>
      </c>
      <c r="D19" s="12">
        <v>378</v>
      </c>
      <c r="E19">
        <v>22.3</v>
      </c>
      <c r="F19">
        <v>1</v>
      </c>
      <c r="G19">
        <v>1.75</v>
      </c>
      <c r="L19">
        <v>16</v>
      </c>
      <c r="M19">
        <v>8318</v>
      </c>
      <c r="N19" s="12">
        <v>454</v>
      </c>
      <c r="O19">
        <v>0</v>
      </c>
      <c r="P19">
        <v>1</v>
      </c>
      <c r="Q19">
        <v>2.66</v>
      </c>
      <c r="V19">
        <v>16</v>
      </c>
      <c r="W19">
        <v>8469</v>
      </c>
      <c r="X19" s="15">
        <v>539</v>
      </c>
      <c r="Y19">
        <v>60.57</v>
      </c>
      <c r="Z19">
        <v>1</v>
      </c>
      <c r="AA19">
        <v>2.66</v>
      </c>
      <c r="AF19">
        <v>16</v>
      </c>
      <c r="AG19">
        <v>8615</v>
      </c>
      <c r="AH19" s="25">
        <v>628</v>
      </c>
      <c r="AI19">
        <v>1.65</v>
      </c>
      <c r="AJ19">
        <v>1</v>
      </c>
      <c r="AK19" s="15">
        <v>2.66</v>
      </c>
      <c r="AP19">
        <v>17</v>
      </c>
      <c r="AQ19">
        <v>8701</v>
      </c>
      <c r="AR19" s="25">
        <v>707</v>
      </c>
      <c r="AS19">
        <v>29.25</v>
      </c>
      <c r="AT19">
        <v>1</v>
      </c>
      <c r="AU19">
        <v>1.59</v>
      </c>
    </row>
    <row r="20" spans="2:47">
      <c r="B20">
        <v>15</v>
      </c>
      <c r="C20">
        <v>8026</v>
      </c>
      <c r="D20" s="12">
        <v>379</v>
      </c>
      <c r="E20">
        <v>22.3</v>
      </c>
      <c r="F20">
        <v>1</v>
      </c>
      <c r="G20">
        <v>1.75</v>
      </c>
      <c r="L20">
        <v>16</v>
      </c>
      <c r="M20">
        <v>8319</v>
      </c>
      <c r="N20" s="12">
        <v>455</v>
      </c>
      <c r="O20">
        <v>0</v>
      </c>
      <c r="P20">
        <v>1</v>
      </c>
      <c r="Q20">
        <v>2.66</v>
      </c>
      <c r="V20" s="12">
        <v>17</v>
      </c>
      <c r="W20" s="12">
        <v>8470</v>
      </c>
      <c r="X20" s="15">
        <v>540</v>
      </c>
      <c r="Y20" s="12">
        <v>45.07</v>
      </c>
      <c r="Z20" s="12">
        <v>1</v>
      </c>
      <c r="AA20" s="12">
        <v>1.59</v>
      </c>
      <c r="AF20">
        <v>16</v>
      </c>
      <c r="AG20">
        <v>8616</v>
      </c>
      <c r="AH20" s="25">
        <v>629</v>
      </c>
      <c r="AI20">
        <v>1.65</v>
      </c>
      <c r="AJ20">
        <v>1</v>
      </c>
      <c r="AK20" s="15">
        <v>2.66</v>
      </c>
      <c r="AP20">
        <v>17</v>
      </c>
      <c r="AQ20">
        <v>8702</v>
      </c>
      <c r="AR20" s="25">
        <v>708</v>
      </c>
      <c r="AS20">
        <v>29.25</v>
      </c>
      <c r="AT20">
        <v>1</v>
      </c>
      <c r="AU20">
        <v>1.59</v>
      </c>
    </row>
    <row r="21" spans="2:47">
      <c r="B21">
        <v>15</v>
      </c>
      <c r="C21">
        <v>8027</v>
      </c>
      <c r="D21" s="12">
        <v>380</v>
      </c>
      <c r="E21">
        <v>22.3</v>
      </c>
      <c r="F21">
        <v>1</v>
      </c>
      <c r="G21">
        <v>1.75</v>
      </c>
      <c r="L21">
        <v>16</v>
      </c>
      <c r="M21">
        <v>8320</v>
      </c>
      <c r="N21" s="12">
        <v>456</v>
      </c>
      <c r="O21">
        <v>0</v>
      </c>
      <c r="P21">
        <v>1</v>
      </c>
      <c r="Q21">
        <v>2.66</v>
      </c>
      <c r="V21">
        <v>17</v>
      </c>
      <c r="W21">
        <v>8471</v>
      </c>
      <c r="X21" s="15">
        <v>541</v>
      </c>
      <c r="Y21">
        <v>45.07</v>
      </c>
      <c r="Z21">
        <v>1</v>
      </c>
      <c r="AA21">
        <v>1.59</v>
      </c>
      <c r="AF21" s="25">
        <v>17</v>
      </c>
      <c r="AG21" s="25">
        <v>8617</v>
      </c>
      <c r="AH21" s="25">
        <v>630</v>
      </c>
      <c r="AI21" s="25">
        <v>1.41</v>
      </c>
      <c r="AJ21" s="25">
        <v>1</v>
      </c>
      <c r="AK21" s="25">
        <v>1.59</v>
      </c>
      <c r="AP21">
        <v>17</v>
      </c>
      <c r="AQ21">
        <v>8703</v>
      </c>
      <c r="AR21" s="25">
        <v>709</v>
      </c>
      <c r="AS21">
        <v>29.25</v>
      </c>
      <c r="AT21">
        <v>1</v>
      </c>
      <c r="AU21">
        <v>1.59</v>
      </c>
    </row>
    <row r="22" spans="2:47">
      <c r="B22">
        <v>15</v>
      </c>
      <c r="C22">
        <v>8028</v>
      </c>
      <c r="D22" s="12">
        <v>381</v>
      </c>
      <c r="E22">
        <v>22.3</v>
      </c>
      <c r="F22">
        <v>1</v>
      </c>
      <c r="G22">
        <v>1.75</v>
      </c>
      <c r="L22" s="15">
        <v>17</v>
      </c>
      <c r="M22" s="15">
        <v>8321</v>
      </c>
      <c r="N22" s="12">
        <v>457</v>
      </c>
      <c r="O22" s="15">
        <v>0</v>
      </c>
      <c r="P22" s="15">
        <v>1</v>
      </c>
      <c r="Q22" s="15">
        <v>1.59</v>
      </c>
      <c r="V22">
        <v>17</v>
      </c>
      <c r="W22">
        <v>8472</v>
      </c>
      <c r="X22" s="15">
        <v>542</v>
      </c>
      <c r="Y22">
        <v>45.07</v>
      </c>
      <c r="Z22">
        <v>1</v>
      </c>
      <c r="AA22">
        <v>1.59</v>
      </c>
      <c r="AF22">
        <v>17</v>
      </c>
      <c r="AG22">
        <v>8618</v>
      </c>
      <c r="AH22" s="25">
        <v>631</v>
      </c>
      <c r="AI22">
        <v>1.41</v>
      </c>
      <c r="AJ22">
        <v>1</v>
      </c>
      <c r="AK22" s="25">
        <v>1.59</v>
      </c>
      <c r="AP22">
        <v>17</v>
      </c>
      <c r="AQ22">
        <v>8704</v>
      </c>
      <c r="AR22" s="25">
        <v>710</v>
      </c>
      <c r="AS22">
        <v>29.25</v>
      </c>
      <c r="AT22">
        <v>1</v>
      </c>
      <c r="AU22">
        <v>1.59</v>
      </c>
    </row>
    <row r="23" spans="2:47">
      <c r="B23">
        <v>15</v>
      </c>
      <c r="C23">
        <v>8029</v>
      </c>
      <c r="D23" s="12">
        <v>382</v>
      </c>
      <c r="E23">
        <v>22.3</v>
      </c>
      <c r="F23">
        <v>1</v>
      </c>
      <c r="G23">
        <v>1.75</v>
      </c>
      <c r="L23">
        <v>17</v>
      </c>
      <c r="M23">
        <v>8322</v>
      </c>
      <c r="N23" s="12">
        <v>458</v>
      </c>
      <c r="O23">
        <v>0</v>
      </c>
      <c r="P23">
        <v>1</v>
      </c>
      <c r="Q23">
        <v>1.59</v>
      </c>
      <c r="V23">
        <v>17</v>
      </c>
      <c r="W23">
        <v>8473</v>
      </c>
      <c r="X23" s="15">
        <v>543</v>
      </c>
      <c r="Y23">
        <v>45.07</v>
      </c>
      <c r="Z23">
        <v>1</v>
      </c>
      <c r="AA23">
        <v>1.59</v>
      </c>
      <c r="AF23">
        <v>17</v>
      </c>
      <c r="AG23">
        <v>8619</v>
      </c>
      <c r="AH23" s="25">
        <v>632</v>
      </c>
      <c r="AI23">
        <v>1.41</v>
      </c>
      <c r="AJ23">
        <v>1</v>
      </c>
      <c r="AK23" s="25">
        <v>1.59</v>
      </c>
      <c r="AP23">
        <v>17</v>
      </c>
      <c r="AQ23">
        <v>8705</v>
      </c>
      <c r="AR23" s="25">
        <v>711</v>
      </c>
      <c r="AS23">
        <v>29.25</v>
      </c>
      <c r="AT23">
        <v>1</v>
      </c>
      <c r="AU23">
        <v>1.59</v>
      </c>
    </row>
    <row r="24" spans="2:47">
      <c r="B24" s="12">
        <v>16</v>
      </c>
      <c r="C24" s="12">
        <v>8041</v>
      </c>
      <c r="D24" s="12">
        <v>383</v>
      </c>
      <c r="E24" s="12">
        <v>19.2</v>
      </c>
      <c r="F24" s="12">
        <v>1</v>
      </c>
      <c r="G24" s="12">
        <v>2.66</v>
      </c>
      <c r="L24">
        <v>17</v>
      </c>
      <c r="M24">
        <v>8323</v>
      </c>
      <c r="N24" s="12">
        <v>459</v>
      </c>
      <c r="O24">
        <v>0</v>
      </c>
      <c r="P24">
        <v>1</v>
      </c>
      <c r="Q24">
        <v>1.59</v>
      </c>
      <c r="V24">
        <v>17</v>
      </c>
      <c r="W24">
        <v>8474</v>
      </c>
      <c r="X24" s="15">
        <v>544</v>
      </c>
      <c r="Y24">
        <v>45.07</v>
      </c>
      <c r="Z24">
        <v>1</v>
      </c>
      <c r="AA24">
        <v>1.59</v>
      </c>
      <c r="AF24">
        <v>17</v>
      </c>
      <c r="AG24">
        <v>8620</v>
      </c>
      <c r="AH24" s="25">
        <v>633</v>
      </c>
      <c r="AI24">
        <v>1.41</v>
      </c>
      <c r="AJ24">
        <v>1</v>
      </c>
      <c r="AK24" s="25">
        <v>1.59</v>
      </c>
      <c r="AP24" s="15">
        <v>18</v>
      </c>
      <c r="AQ24" s="15">
        <v>8706</v>
      </c>
      <c r="AR24" s="25">
        <v>712</v>
      </c>
      <c r="AS24" s="15">
        <v>29.5</v>
      </c>
      <c r="AT24" s="15">
        <v>1</v>
      </c>
      <c r="AU24" s="15">
        <v>1.27</v>
      </c>
    </row>
    <row r="25" spans="2:47">
      <c r="B25">
        <v>16</v>
      </c>
      <c r="C25">
        <v>8042</v>
      </c>
      <c r="D25" s="12">
        <v>384</v>
      </c>
      <c r="E25">
        <v>19.2</v>
      </c>
      <c r="F25">
        <v>1</v>
      </c>
      <c r="G25">
        <v>2.66</v>
      </c>
      <c r="L25">
        <v>17</v>
      </c>
      <c r="M25">
        <v>8324</v>
      </c>
      <c r="N25" s="12">
        <v>460</v>
      </c>
      <c r="O25">
        <v>0</v>
      </c>
      <c r="P25">
        <v>1</v>
      </c>
      <c r="Q25">
        <v>1.59</v>
      </c>
      <c r="V25">
        <v>17</v>
      </c>
      <c r="W25">
        <v>8475</v>
      </c>
      <c r="X25" s="15">
        <v>545</v>
      </c>
      <c r="Y25">
        <v>45.07</v>
      </c>
      <c r="Z25">
        <v>1</v>
      </c>
      <c r="AA25">
        <v>1.59</v>
      </c>
      <c r="AF25">
        <v>17</v>
      </c>
      <c r="AG25">
        <v>8621</v>
      </c>
      <c r="AH25" s="25">
        <v>634</v>
      </c>
      <c r="AI25">
        <v>1.41</v>
      </c>
      <c r="AJ25">
        <v>1</v>
      </c>
      <c r="AK25" s="25">
        <v>1.59</v>
      </c>
      <c r="AP25">
        <v>18</v>
      </c>
      <c r="AQ25">
        <v>8707</v>
      </c>
      <c r="AR25" s="25">
        <v>713</v>
      </c>
      <c r="AS25">
        <v>29.5</v>
      </c>
      <c r="AT25">
        <v>1</v>
      </c>
      <c r="AU25">
        <v>1.27</v>
      </c>
    </row>
    <row r="26" spans="2:47">
      <c r="B26">
        <v>16</v>
      </c>
      <c r="C26">
        <v>8043</v>
      </c>
      <c r="D26" s="12">
        <v>385</v>
      </c>
      <c r="E26">
        <v>19.2</v>
      </c>
      <c r="F26">
        <v>1</v>
      </c>
      <c r="G26">
        <v>2.66</v>
      </c>
      <c r="L26">
        <v>17</v>
      </c>
      <c r="M26">
        <v>8325</v>
      </c>
      <c r="N26" s="12">
        <v>461</v>
      </c>
      <c r="O26">
        <v>0</v>
      </c>
      <c r="P26">
        <v>1</v>
      </c>
      <c r="Q26">
        <v>1.59</v>
      </c>
      <c r="V26" s="15">
        <v>18</v>
      </c>
      <c r="W26" s="15">
        <v>8476</v>
      </c>
      <c r="X26" s="15">
        <v>546</v>
      </c>
      <c r="Y26" s="15">
        <v>55.97</v>
      </c>
      <c r="Z26" s="15">
        <v>1</v>
      </c>
      <c r="AA26" s="15">
        <v>1.27</v>
      </c>
      <c r="AF26" s="12">
        <v>18</v>
      </c>
      <c r="AG26" s="12">
        <v>8622</v>
      </c>
      <c r="AH26" s="25">
        <v>635</v>
      </c>
      <c r="AI26" s="12">
        <v>1.67</v>
      </c>
      <c r="AJ26" s="12">
        <v>1</v>
      </c>
      <c r="AK26" s="12">
        <v>1.27</v>
      </c>
      <c r="AP26">
        <v>18</v>
      </c>
      <c r="AQ26">
        <v>8708</v>
      </c>
      <c r="AR26" s="25">
        <v>714</v>
      </c>
      <c r="AS26">
        <v>29.5</v>
      </c>
      <c r="AT26">
        <v>1</v>
      </c>
      <c r="AU26">
        <v>1.27</v>
      </c>
    </row>
    <row r="27" spans="2:47">
      <c r="B27">
        <v>16</v>
      </c>
      <c r="C27">
        <v>8044</v>
      </c>
      <c r="D27" s="12">
        <v>386</v>
      </c>
      <c r="E27">
        <v>19.2</v>
      </c>
      <c r="F27">
        <v>1</v>
      </c>
      <c r="G27">
        <v>2.66</v>
      </c>
      <c r="L27">
        <v>17</v>
      </c>
      <c r="M27">
        <v>8326</v>
      </c>
      <c r="N27" s="12">
        <v>462</v>
      </c>
      <c r="O27">
        <v>0</v>
      </c>
      <c r="P27">
        <v>1</v>
      </c>
      <c r="Q27">
        <v>1.59</v>
      </c>
      <c r="V27">
        <v>18</v>
      </c>
      <c r="W27">
        <v>8477</v>
      </c>
      <c r="X27" s="15">
        <v>547</v>
      </c>
      <c r="Y27">
        <v>55.97</v>
      </c>
      <c r="Z27">
        <v>1</v>
      </c>
      <c r="AA27">
        <v>1.27</v>
      </c>
      <c r="AF27">
        <v>18</v>
      </c>
      <c r="AG27">
        <v>8623</v>
      </c>
      <c r="AH27" s="25">
        <v>636</v>
      </c>
      <c r="AI27">
        <v>1.67</v>
      </c>
      <c r="AJ27">
        <v>1</v>
      </c>
      <c r="AK27" s="12">
        <v>1.27</v>
      </c>
      <c r="AP27">
        <v>18</v>
      </c>
      <c r="AQ27">
        <v>8709</v>
      </c>
      <c r="AR27" s="25">
        <v>715</v>
      </c>
      <c r="AS27">
        <v>29.5</v>
      </c>
      <c r="AT27">
        <v>1</v>
      </c>
      <c r="AU27">
        <v>1.27</v>
      </c>
    </row>
    <row r="28" spans="2:47">
      <c r="B28">
        <v>16</v>
      </c>
      <c r="C28">
        <v>8045</v>
      </c>
      <c r="D28" s="12">
        <v>387</v>
      </c>
      <c r="E28">
        <v>19.2</v>
      </c>
      <c r="F28">
        <v>1</v>
      </c>
      <c r="G28">
        <v>2.66</v>
      </c>
      <c r="L28" s="12">
        <v>18</v>
      </c>
      <c r="M28" s="12">
        <v>8327</v>
      </c>
      <c r="N28" s="12">
        <v>463</v>
      </c>
      <c r="O28" s="12">
        <v>0</v>
      </c>
      <c r="P28" s="12">
        <v>1</v>
      </c>
      <c r="Q28" s="12">
        <v>1.27</v>
      </c>
      <c r="V28">
        <v>18</v>
      </c>
      <c r="W28">
        <v>8478</v>
      </c>
      <c r="X28" s="15">
        <v>548</v>
      </c>
      <c r="Y28">
        <v>55.97</v>
      </c>
      <c r="Z28">
        <v>1</v>
      </c>
      <c r="AA28">
        <v>1.27</v>
      </c>
      <c r="AF28">
        <v>18</v>
      </c>
      <c r="AG28">
        <v>8624</v>
      </c>
      <c r="AH28" s="25">
        <v>637</v>
      </c>
      <c r="AI28">
        <v>1.67</v>
      </c>
      <c r="AJ28">
        <v>1</v>
      </c>
      <c r="AK28" s="12">
        <v>1.27</v>
      </c>
      <c r="AP28">
        <v>18</v>
      </c>
      <c r="AQ28">
        <v>8710</v>
      </c>
      <c r="AR28" s="25">
        <v>716</v>
      </c>
      <c r="AS28">
        <v>29.5</v>
      </c>
      <c r="AT28">
        <v>1</v>
      </c>
      <c r="AU28">
        <v>1.27</v>
      </c>
    </row>
    <row r="29" spans="2:47">
      <c r="B29">
        <v>16</v>
      </c>
      <c r="C29">
        <v>8046</v>
      </c>
      <c r="D29" s="12">
        <v>388</v>
      </c>
      <c r="E29">
        <v>19.2</v>
      </c>
      <c r="F29">
        <v>1</v>
      </c>
      <c r="G29">
        <v>2.66</v>
      </c>
      <c r="L29">
        <v>18</v>
      </c>
      <c r="M29">
        <v>8328</v>
      </c>
      <c r="N29" s="12">
        <v>464</v>
      </c>
      <c r="O29">
        <v>0</v>
      </c>
      <c r="P29">
        <v>1</v>
      </c>
      <c r="Q29">
        <v>1.27</v>
      </c>
      <c r="V29">
        <v>18</v>
      </c>
      <c r="W29">
        <v>8479</v>
      </c>
      <c r="X29" s="15">
        <v>549</v>
      </c>
      <c r="Y29">
        <v>55.97</v>
      </c>
      <c r="Z29">
        <v>1</v>
      </c>
      <c r="AA29">
        <v>1.27</v>
      </c>
      <c r="AF29">
        <v>18</v>
      </c>
      <c r="AG29">
        <v>8625</v>
      </c>
      <c r="AH29" s="25">
        <v>638</v>
      </c>
      <c r="AI29">
        <v>1.67</v>
      </c>
      <c r="AJ29">
        <v>1</v>
      </c>
      <c r="AK29" s="12">
        <v>1.27</v>
      </c>
      <c r="AP29">
        <v>18</v>
      </c>
      <c r="AQ29">
        <v>8711</v>
      </c>
      <c r="AR29" s="25">
        <v>717</v>
      </c>
      <c r="AS29">
        <v>29.5</v>
      </c>
      <c r="AT29">
        <v>1</v>
      </c>
      <c r="AU29">
        <v>1.27</v>
      </c>
    </row>
    <row r="30" spans="2:47">
      <c r="B30">
        <v>16</v>
      </c>
      <c r="C30">
        <v>8047</v>
      </c>
      <c r="D30" s="12">
        <v>389</v>
      </c>
      <c r="E30">
        <v>19.2</v>
      </c>
      <c r="F30">
        <v>1</v>
      </c>
      <c r="G30">
        <v>2.66</v>
      </c>
      <c r="L30">
        <v>18</v>
      </c>
      <c r="M30">
        <v>8329</v>
      </c>
      <c r="N30" s="12">
        <v>465</v>
      </c>
      <c r="O30">
        <v>0</v>
      </c>
      <c r="P30">
        <v>1</v>
      </c>
      <c r="Q30">
        <v>1.27</v>
      </c>
      <c r="V30">
        <v>18</v>
      </c>
      <c r="W30">
        <v>8480</v>
      </c>
      <c r="X30" s="15">
        <v>550</v>
      </c>
      <c r="Y30">
        <v>55.97</v>
      </c>
      <c r="Z30">
        <v>1</v>
      </c>
      <c r="AA30">
        <v>1.27</v>
      </c>
      <c r="AF30">
        <v>18</v>
      </c>
      <c r="AG30">
        <v>8626</v>
      </c>
      <c r="AH30" s="25">
        <v>639</v>
      </c>
      <c r="AI30">
        <v>1.67</v>
      </c>
      <c r="AJ30">
        <v>1</v>
      </c>
      <c r="AK30" s="12">
        <v>1.27</v>
      </c>
      <c r="AP30">
        <v>18</v>
      </c>
      <c r="AQ30">
        <v>8712</v>
      </c>
      <c r="AR30" s="25">
        <v>718</v>
      </c>
      <c r="AS30">
        <v>29.5</v>
      </c>
      <c r="AT30">
        <v>1</v>
      </c>
      <c r="AU30">
        <v>1.27</v>
      </c>
    </row>
    <row r="31" spans="2:47">
      <c r="B31">
        <v>16</v>
      </c>
      <c r="C31">
        <v>8048</v>
      </c>
      <c r="D31" s="12">
        <v>390</v>
      </c>
      <c r="E31">
        <v>19.2</v>
      </c>
      <c r="F31">
        <v>1</v>
      </c>
      <c r="G31">
        <v>2.66</v>
      </c>
      <c r="L31">
        <v>18</v>
      </c>
      <c r="M31">
        <v>8330</v>
      </c>
      <c r="N31" s="12">
        <v>466</v>
      </c>
      <c r="O31">
        <v>0</v>
      </c>
      <c r="P31">
        <v>1</v>
      </c>
      <c r="Q31">
        <v>1.27</v>
      </c>
      <c r="V31" s="12">
        <v>19</v>
      </c>
      <c r="W31" s="12">
        <v>8481</v>
      </c>
      <c r="X31" s="15">
        <v>551</v>
      </c>
      <c r="Y31" s="12">
        <v>4.4400000000000004</v>
      </c>
      <c r="Z31" s="12">
        <v>2</v>
      </c>
      <c r="AA31" s="12">
        <v>2.5099999999999998</v>
      </c>
      <c r="AF31" s="15">
        <v>19</v>
      </c>
      <c r="AG31" s="15">
        <v>8627</v>
      </c>
      <c r="AH31" s="25">
        <v>640</v>
      </c>
      <c r="AI31" s="15">
        <v>1.33</v>
      </c>
      <c r="AJ31" s="15">
        <v>2</v>
      </c>
      <c r="AK31" s="15">
        <v>2.5099999999999998</v>
      </c>
      <c r="AP31" s="25">
        <v>19</v>
      </c>
      <c r="AQ31" s="25">
        <v>8713</v>
      </c>
      <c r="AR31" s="25">
        <v>719</v>
      </c>
      <c r="AS31" s="25">
        <v>21.72</v>
      </c>
      <c r="AT31" s="25">
        <v>2</v>
      </c>
      <c r="AU31" s="25">
        <v>2.5099999999999998</v>
      </c>
    </row>
    <row r="32" spans="2:47">
      <c r="B32">
        <v>16</v>
      </c>
      <c r="C32">
        <v>8049</v>
      </c>
      <c r="D32" s="12">
        <v>391</v>
      </c>
      <c r="E32">
        <v>19.2</v>
      </c>
      <c r="F32">
        <v>1</v>
      </c>
      <c r="G32">
        <v>2.66</v>
      </c>
      <c r="L32">
        <v>18</v>
      </c>
      <c r="M32">
        <v>8331</v>
      </c>
      <c r="N32" s="12">
        <v>467</v>
      </c>
      <c r="O32">
        <v>0</v>
      </c>
      <c r="P32">
        <v>1</v>
      </c>
      <c r="Q32">
        <v>1.27</v>
      </c>
      <c r="V32">
        <v>19</v>
      </c>
      <c r="W32">
        <v>8482</v>
      </c>
      <c r="X32" s="15">
        <v>552</v>
      </c>
      <c r="Y32">
        <v>4.4400000000000004</v>
      </c>
      <c r="Z32">
        <v>2</v>
      </c>
      <c r="AA32">
        <v>2.5099999999999998</v>
      </c>
      <c r="AF32">
        <v>19</v>
      </c>
      <c r="AG32">
        <v>8628</v>
      </c>
      <c r="AH32" s="25">
        <v>641</v>
      </c>
      <c r="AI32">
        <v>1.33</v>
      </c>
      <c r="AJ32">
        <v>2</v>
      </c>
      <c r="AK32" s="15">
        <v>2.5099999999999998</v>
      </c>
      <c r="AP32">
        <v>19</v>
      </c>
      <c r="AQ32">
        <v>8714</v>
      </c>
      <c r="AR32" s="25">
        <v>720</v>
      </c>
      <c r="AS32">
        <v>21.72</v>
      </c>
      <c r="AT32">
        <v>2</v>
      </c>
      <c r="AU32">
        <v>2.5099999999999998</v>
      </c>
    </row>
    <row r="33" spans="2:47">
      <c r="B33">
        <v>16</v>
      </c>
      <c r="C33">
        <v>8050</v>
      </c>
      <c r="D33" s="12">
        <v>392</v>
      </c>
      <c r="E33">
        <v>19.2</v>
      </c>
      <c r="F33">
        <v>1</v>
      </c>
      <c r="G33">
        <v>2.66</v>
      </c>
      <c r="L33">
        <v>18</v>
      </c>
      <c r="M33">
        <v>8332</v>
      </c>
      <c r="N33" s="12">
        <v>468</v>
      </c>
      <c r="O33">
        <v>0</v>
      </c>
      <c r="P33">
        <v>1</v>
      </c>
      <c r="Q33">
        <v>1.27</v>
      </c>
      <c r="V33">
        <v>19</v>
      </c>
      <c r="W33">
        <v>8483</v>
      </c>
      <c r="X33" s="15">
        <v>553</v>
      </c>
      <c r="Y33">
        <v>4.4400000000000004</v>
      </c>
      <c r="Z33">
        <v>2</v>
      </c>
      <c r="AA33">
        <v>2.5099999999999998</v>
      </c>
      <c r="AF33">
        <v>19</v>
      </c>
      <c r="AG33">
        <v>8629</v>
      </c>
      <c r="AH33" s="25">
        <v>642</v>
      </c>
      <c r="AI33">
        <v>1.33</v>
      </c>
      <c r="AJ33">
        <v>2</v>
      </c>
      <c r="AK33" s="15">
        <v>2.5099999999999998</v>
      </c>
      <c r="AP33">
        <v>19</v>
      </c>
      <c r="AQ33">
        <v>8715</v>
      </c>
      <c r="AR33" s="25">
        <v>721</v>
      </c>
      <c r="AS33">
        <v>21.72</v>
      </c>
      <c r="AT33">
        <v>2</v>
      </c>
      <c r="AU33">
        <v>2.5099999999999998</v>
      </c>
    </row>
    <row r="34" spans="2:47">
      <c r="B34">
        <v>16</v>
      </c>
      <c r="C34">
        <v>8051</v>
      </c>
      <c r="D34" s="12">
        <v>393</v>
      </c>
      <c r="E34">
        <v>19.2</v>
      </c>
      <c r="F34">
        <v>1</v>
      </c>
      <c r="G34">
        <v>2.66</v>
      </c>
      <c r="L34" s="15">
        <v>19</v>
      </c>
      <c r="M34" s="15">
        <v>8333</v>
      </c>
      <c r="N34" s="12">
        <v>469</v>
      </c>
      <c r="O34" s="15">
        <v>0</v>
      </c>
      <c r="P34" s="15">
        <v>2</v>
      </c>
      <c r="Q34" s="15">
        <v>2.5099999999999998</v>
      </c>
      <c r="V34">
        <v>19</v>
      </c>
      <c r="W34">
        <v>8484</v>
      </c>
      <c r="X34" s="15">
        <v>554</v>
      </c>
      <c r="Y34">
        <v>4.4400000000000004</v>
      </c>
      <c r="Z34">
        <v>2</v>
      </c>
      <c r="AA34">
        <v>2.5099999999999998</v>
      </c>
      <c r="AF34">
        <v>19</v>
      </c>
      <c r="AG34">
        <v>8630</v>
      </c>
      <c r="AH34" s="25">
        <v>643</v>
      </c>
      <c r="AI34">
        <v>1.33</v>
      </c>
      <c r="AJ34">
        <v>2</v>
      </c>
      <c r="AK34" s="15">
        <v>2.5099999999999998</v>
      </c>
      <c r="AP34">
        <v>19</v>
      </c>
      <c r="AQ34">
        <v>8716</v>
      </c>
      <c r="AR34" s="25">
        <v>722</v>
      </c>
      <c r="AS34">
        <v>21.72</v>
      </c>
      <c r="AT34">
        <v>2</v>
      </c>
      <c r="AU34">
        <v>2.5099999999999998</v>
      </c>
    </row>
    <row r="35" spans="2:47">
      <c r="B35">
        <v>16</v>
      </c>
      <c r="C35">
        <v>8052</v>
      </c>
      <c r="D35" s="12">
        <v>394</v>
      </c>
      <c r="E35">
        <v>19.2</v>
      </c>
      <c r="F35">
        <v>1</v>
      </c>
      <c r="G35">
        <v>2.66</v>
      </c>
      <c r="L35">
        <v>19</v>
      </c>
      <c r="M35">
        <v>8334</v>
      </c>
      <c r="N35" s="12">
        <v>470</v>
      </c>
      <c r="O35">
        <v>0</v>
      </c>
      <c r="P35">
        <v>2</v>
      </c>
      <c r="Q35">
        <v>2.5099999999999998</v>
      </c>
      <c r="V35">
        <v>19</v>
      </c>
      <c r="W35">
        <v>8485</v>
      </c>
      <c r="X35" s="15">
        <v>555</v>
      </c>
      <c r="Y35">
        <v>4.4400000000000004</v>
      </c>
      <c r="Z35">
        <v>2</v>
      </c>
      <c r="AA35">
        <v>2.5099999999999998</v>
      </c>
      <c r="AF35">
        <v>19</v>
      </c>
      <c r="AG35">
        <v>8631</v>
      </c>
      <c r="AH35" s="25">
        <v>644</v>
      </c>
      <c r="AI35">
        <v>1.33</v>
      </c>
      <c r="AJ35">
        <v>2</v>
      </c>
      <c r="AK35" s="15">
        <v>2.5099999999999998</v>
      </c>
      <c r="AP35">
        <v>19</v>
      </c>
      <c r="AQ35">
        <v>8717</v>
      </c>
      <c r="AR35" s="25">
        <v>723</v>
      </c>
      <c r="AS35">
        <v>21.72</v>
      </c>
      <c r="AT35">
        <v>2</v>
      </c>
      <c r="AU35">
        <v>2.5099999999999998</v>
      </c>
    </row>
    <row r="36" spans="2:47">
      <c r="B36">
        <v>16</v>
      </c>
      <c r="C36">
        <v>8053</v>
      </c>
      <c r="D36" s="12">
        <v>395</v>
      </c>
      <c r="E36">
        <v>19.2</v>
      </c>
      <c r="F36">
        <v>1</v>
      </c>
      <c r="G36">
        <v>2.66</v>
      </c>
      <c r="L36">
        <v>19</v>
      </c>
      <c r="M36">
        <v>8335</v>
      </c>
      <c r="N36" s="12">
        <v>471</v>
      </c>
      <c r="O36">
        <v>0</v>
      </c>
      <c r="P36">
        <v>2</v>
      </c>
      <c r="Q36">
        <v>2.5099999999999998</v>
      </c>
      <c r="V36">
        <v>19</v>
      </c>
      <c r="W36">
        <v>8486</v>
      </c>
      <c r="X36" s="15">
        <v>556</v>
      </c>
      <c r="Y36">
        <v>4.4400000000000004</v>
      </c>
      <c r="Z36">
        <v>2</v>
      </c>
      <c r="AA36">
        <v>2.5099999999999998</v>
      </c>
      <c r="AF36" s="12">
        <v>20</v>
      </c>
      <c r="AG36" s="12">
        <v>8632</v>
      </c>
      <c r="AH36" s="25">
        <v>645</v>
      </c>
      <c r="AI36" s="12">
        <v>3.96</v>
      </c>
      <c r="AJ36" s="12">
        <v>2</v>
      </c>
      <c r="AK36" s="12">
        <v>2.77</v>
      </c>
      <c r="AP36">
        <v>19</v>
      </c>
      <c r="AQ36">
        <v>8718</v>
      </c>
      <c r="AR36" s="25">
        <v>724</v>
      </c>
      <c r="AS36">
        <v>21.72</v>
      </c>
      <c r="AT36">
        <v>2</v>
      </c>
      <c r="AU36">
        <v>2.5099999999999998</v>
      </c>
    </row>
    <row r="37" spans="2:47">
      <c r="B37" s="15">
        <v>17</v>
      </c>
      <c r="C37" s="15">
        <v>8078</v>
      </c>
      <c r="D37" s="12">
        <v>396</v>
      </c>
      <c r="E37" s="15">
        <v>13.3</v>
      </c>
      <c r="F37" s="15">
        <v>1</v>
      </c>
      <c r="G37" s="15">
        <v>1.59</v>
      </c>
      <c r="L37">
        <v>19</v>
      </c>
      <c r="M37">
        <v>8336</v>
      </c>
      <c r="N37" s="12">
        <v>472</v>
      </c>
      <c r="O37">
        <v>0</v>
      </c>
      <c r="P37">
        <v>2</v>
      </c>
      <c r="Q37">
        <v>2.5099999999999998</v>
      </c>
      <c r="V37">
        <v>19</v>
      </c>
      <c r="W37">
        <v>8487</v>
      </c>
      <c r="X37" s="15">
        <v>557</v>
      </c>
      <c r="Y37">
        <v>4.4400000000000004</v>
      </c>
      <c r="Z37">
        <v>2</v>
      </c>
      <c r="AA37">
        <v>2.5099999999999998</v>
      </c>
      <c r="AF37">
        <v>20</v>
      </c>
      <c r="AG37">
        <v>8633</v>
      </c>
      <c r="AH37" s="25">
        <v>646</v>
      </c>
      <c r="AI37">
        <v>3.96</v>
      </c>
      <c r="AJ37">
        <v>2</v>
      </c>
      <c r="AK37" s="12">
        <v>2.77</v>
      </c>
      <c r="AP37" s="12">
        <v>20</v>
      </c>
      <c r="AQ37" s="12">
        <v>8719</v>
      </c>
      <c r="AR37" s="25">
        <v>725</v>
      </c>
      <c r="AS37" s="12">
        <v>27.98</v>
      </c>
      <c r="AT37" s="12">
        <v>2</v>
      </c>
      <c r="AU37" s="12">
        <v>2.77</v>
      </c>
    </row>
    <row r="38" spans="2:47">
      <c r="B38">
        <v>17</v>
      </c>
      <c r="C38">
        <v>8079</v>
      </c>
      <c r="D38" s="12">
        <v>397</v>
      </c>
      <c r="E38">
        <v>13.3</v>
      </c>
      <c r="F38">
        <v>1</v>
      </c>
      <c r="G38">
        <v>1.59</v>
      </c>
      <c r="L38">
        <v>19</v>
      </c>
      <c r="M38">
        <v>8337</v>
      </c>
      <c r="N38" s="12">
        <v>473</v>
      </c>
      <c r="O38">
        <v>0</v>
      </c>
      <c r="P38">
        <v>2</v>
      </c>
      <c r="Q38">
        <v>2.5099999999999998</v>
      </c>
      <c r="V38" s="15">
        <v>20</v>
      </c>
      <c r="W38" s="15">
        <v>8488</v>
      </c>
      <c r="X38" s="15">
        <v>558</v>
      </c>
      <c r="Y38" s="15">
        <v>42.7</v>
      </c>
      <c r="Z38" s="15">
        <v>2</v>
      </c>
      <c r="AA38" s="15">
        <v>2.77</v>
      </c>
      <c r="AF38">
        <v>20</v>
      </c>
      <c r="AG38">
        <v>8634</v>
      </c>
      <c r="AH38" s="25">
        <v>647</v>
      </c>
      <c r="AI38">
        <v>3.96</v>
      </c>
      <c r="AJ38">
        <v>2</v>
      </c>
      <c r="AK38" s="12">
        <v>2.77</v>
      </c>
      <c r="AP38">
        <v>20</v>
      </c>
      <c r="AQ38">
        <v>8720</v>
      </c>
      <c r="AR38" s="25">
        <v>726</v>
      </c>
      <c r="AS38">
        <v>27.98</v>
      </c>
      <c r="AT38">
        <v>2</v>
      </c>
      <c r="AU38">
        <v>2.77</v>
      </c>
    </row>
    <row r="39" spans="2:47">
      <c r="B39">
        <v>17</v>
      </c>
      <c r="C39">
        <v>8080</v>
      </c>
      <c r="D39" s="12">
        <v>398</v>
      </c>
      <c r="E39">
        <v>13.3</v>
      </c>
      <c r="F39">
        <v>1</v>
      </c>
      <c r="G39">
        <v>1.59</v>
      </c>
      <c r="L39" s="12">
        <v>20</v>
      </c>
      <c r="M39" s="12">
        <v>8338</v>
      </c>
      <c r="N39" s="12">
        <v>474</v>
      </c>
      <c r="O39" s="12">
        <v>0</v>
      </c>
      <c r="P39" s="12">
        <v>2</v>
      </c>
      <c r="Q39" s="12">
        <v>2.77</v>
      </c>
      <c r="V39">
        <v>20</v>
      </c>
      <c r="W39">
        <v>8489</v>
      </c>
      <c r="X39" s="15">
        <v>559</v>
      </c>
      <c r="Y39">
        <v>42.7</v>
      </c>
      <c r="Z39">
        <v>2</v>
      </c>
      <c r="AA39">
        <v>2.77</v>
      </c>
      <c r="AF39">
        <v>20</v>
      </c>
      <c r="AG39">
        <v>8635</v>
      </c>
      <c r="AH39" s="25">
        <v>648</v>
      </c>
      <c r="AI39">
        <v>3.96</v>
      </c>
      <c r="AJ39">
        <v>2</v>
      </c>
      <c r="AK39" s="12">
        <v>2.77</v>
      </c>
      <c r="AP39">
        <v>20</v>
      </c>
      <c r="AQ39">
        <v>8721</v>
      </c>
      <c r="AR39" s="25">
        <v>727</v>
      </c>
      <c r="AS39">
        <v>27.98</v>
      </c>
      <c r="AT39">
        <v>2</v>
      </c>
      <c r="AU39">
        <v>2.77</v>
      </c>
    </row>
    <row r="40" spans="2:47">
      <c r="B40">
        <v>17</v>
      </c>
      <c r="C40">
        <v>8081</v>
      </c>
      <c r="D40" s="12">
        <v>399</v>
      </c>
      <c r="E40">
        <v>13.3</v>
      </c>
      <c r="F40">
        <v>1</v>
      </c>
      <c r="G40">
        <v>1.59</v>
      </c>
      <c r="L40">
        <v>20</v>
      </c>
      <c r="M40">
        <v>8339</v>
      </c>
      <c r="N40" s="12">
        <v>475</v>
      </c>
      <c r="O40">
        <v>0</v>
      </c>
      <c r="P40">
        <v>2</v>
      </c>
      <c r="Q40">
        <v>2.77</v>
      </c>
      <c r="V40">
        <v>20</v>
      </c>
      <c r="W40">
        <v>8490</v>
      </c>
      <c r="X40" s="15">
        <v>560</v>
      </c>
      <c r="Y40">
        <v>42.7</v>
      </c>
      <c r="Z40">
        <v>2</v>
      </c>
      <c r="AA40">
        <v>2.77</v>
      </c>
      <c r="AF40">
        <v>20</v>
      </c>
      <c r="AG40">
        <v>8636</v>
      </c>
      <c r="AH40" s="25">
        <v>649</v>
      </c>
      <c r="AI40">
        <v>3.96</v>
      </c>
      <c r="AJ40">
        <v>2</v>
      </c>
      <c r="AK40" s="12">
        <v>2.77</v>
      </c>
      <c r="AP40">
        <v>20</v>
      </c>
      <c r="AQ40">
        <v>8722</v>
      </c>
      <c r="AR40" s="25">
        <v>728</v>
      </c>
      <c r="AS40">
        <v>27.98</v>
      </c>
      <c r="AT40">
        <v>2</v>
      </c>
      <c r="AU40">
        <v>2.77</v>
      </c>
    </row>
    <row r="41" spans="2:47">
      <c r="B41">
        <v>17</v>
      </c>
      <c r="C41">
        <v>8082</v>
      </c>
      <c r="D41" s="12">
        <v>400</v>
      </c>
      <c r="E41">
        <v>13.3</v>
      </c>
      <c r="F41">
        <v>1</v>
      </c>
      <c r="G41">
        <v>1.59</v>
      </c>
      <c r="L41">
        <v>20</v>
      </c>
      <c r="M41">
        <v>8340</v>
      </c>
      <c r="N41" s="12">
        <v>476</v>
      </c>
      <c r="O41">
        <v>0</v>
      </c>
      <c r="P41">
        <v>2</v>
      </c>
      <c r="Q41">
        <v>2.77</v>
      </c>
      <c r="V41">
        <v>20</v>
      </c>
      <c r="W41">
        <v>8491</v>
      </c>
      <c r="X41" s="15">
        <v>561</v>
      </c>
      <c r="Y41">
        <v>42.7</v>
      </c>
      <c r="Z41">
        <v>2</v>
      </c>
      <c r="AA41">
        <v>2.77</v>
      </c>
      <c r="AF41">
        <v>20</v>
      </c>
      <c r="AG41">
        <v>8637</v>
      </c>
      <c r="AH41" s="25">
        <v>650</v>
      </c>
      <c r="AI41">
        <v>3.96</v>
      </c>
      <c r="AJ41">
        <v>2</v>
      </c>
      <c r="AK41" s="12">
        <v>2.77</v>
      </c>
      <c r="AP41">
        <v>20</v>
      </c>
      <c r="AQ41">
        <v>8723</v>
      </c>
      <c r="AR41" s="25">
        <v>729</v>
      </c>
      <c r="AS41">
        <v>27.98</v>
      </c>
      <c r="AT41">
        <v>2</v>
      </c>
      <c r="AU41">
        <v>2.77</v>
      </c>
    </row>
    <row r="42" spans="2:47">
      <c r="B42">
        <v>17</v>
      </c>
      <c r="C42">
        <v>8083</v>
      </c>
      <c r="D42" s="12">
        <v>401</v>
      </c>
      <c r="E42">
        <v>13.3</v>
      </c>
      <c r="F42">
        <v>1</v>
      </c>
      <c r="G42">
        <v>1.59</v>
      </c>
      <c r="L42">
        <v>20</v>
      </c>
      <c r="M42">
        <v>8341</v>
      </c>
      <c r="N42" s="12">
        <v>477</v>
      </c>
      <c r="O42">
        <v>0</v>
      </c>
      <c r="P42">
        <v>2</v>
      </c>
      <c r="Q42">
        <v>2.77</v>
      </c>
      <c r="V42">
        <v>20</v>
      </c>
      <c r="W42">
        <v>8492</v>
      </c>
      <c r="X42" s="15">
        <v>562</v>
      </c>
      <c r="Y42">
        <v>42.7</v>
      </c>
      <c r="Z42">
        <v>2</v>
      </c>
      <c r="AA42">
        <v>2.77</v>
      </c>
      <c r="AE42" s="7">
        <v>45635</v>
      </c>
      <c r="AF42" s="25">
        <v>14</v>
      </c>
      <c r="AG42" s="25">
        <v>8644</v>
      </c>
      <c r="AH42" s="25">
        <v>651</v>
      </c>
      <c r="AI42" s="25">
        <v>2.19</v>
      </c>
      <c r="AJ42" s="25">
        <v>1</v>
      </c>
      <c r="AK42" s="25">
        <v>2.0499999999999998</v>
      </c>
      <c r="AP42">
        <v>20</v>
      </c>
      <c r="AQ42">
        <v>8724</v>
      </c>
      <c r="AR42" s="25">
        <v>730</v>
      </c>
      <c r="AS42">
        <v>27.98</v>
      </c>
      <c r="AT42">
        <v>2</v>
      </c>
      <c r="AU42">
        <v>2.77</v>
      </c>
    </row>
    <row r="43" spans="2:47">
      <c r="B43" s="12">
        <v>18</v>
      </c>
      <c r="C43" s="12">
        <v>8084</v>
      </c>
      <c r="D43" s="12">
        <v>402</v>
      </c>
      <c r="E43" s="12">
        <v>13.6</v>
      </c>
      <c r="F43" s="12">
        <v>1</v>
      </c>
      <c r="G43" s="12">
        <v>1.27</v>
      </c>
      <c r="L43">
        <v>20</v>
      </c>
      <c r="M43">
        <v>8342</v>
      </c>
      <c r="N43" s="12">
        <v>478</v>
      </c>
      <c r="O43">
        <v>0</v>
      </c>
      <c r="P43">
        <v>2</v>
      </c>
      <c r="Q43">
        <v>2.77</v>
      </c>
      <c r="V43">
        <v>20</v>
      </c>
      <c r="W43">
        <v>8493</v>
      </c>
      <c r="X43" s="15">
        <v>563</v>
      </c>
      <c r="Y43">
        <v>42.7</v>
      </c>
      <c r="Z43">
        <v>2</v>
      </c>
      <c r="AA43">
        <v>2.77</v>
      </c>
      <c r="AF43">
        <v>14</v>
      </c>
      <c r="AG43">
        <v>8645</v>
      </c>
      <c r="AH43" s="25">
        <v>652</v>
      </c>
      <c r="AI43">
        <v>2.19</v>
      </c>
      <c r="AJ43">
        <v>1</v>
      </c>
      <c r="AK43" s="25">
        <v>2.0499999999999998</v>
      </c>
      <c r="AP43">
        <v>20</v>
      </c>
      <c r="AQ43">
        <v>8725</v>
      </c>
      <c r="AR43" s="25">
        <v>731</v>
      </c>
      <c r="AS43">
        <v>27.98</v>
      </c>
      <c r="AT43">
        <v>2</v>
      </c>
      <c r="AU43">
        <v>2.77</v>
      </c>
    </row>
    <row r="44" spans="2:47">
      <c r="B44">
        <v>18</v>
      </c>
      <c r="C44">
        <v>8085</v>
      </c>
      <c r="D44" s="12">
        <v>403</v>
      </c>
      <c r="E44">
        <v>13.6</v>
      </c>
      <c r="F44">
        <v>1</v>
      </c>
      <c r="G44">
        <v>1.27</v>
      </c>
      <c r="L44">
        <v>20</v>
      </c>
      <c r="M44">
        <v>8343</v>
      </c>
      <c r="N44" s="12">
        <v>479</v>
      </c>
      <c r="O44">
        <v>0</v>
      </c>
      <c r="P44">
        <v>2</v>
      </c>
      <c r="Q44">
        <v>2.77</v>
      </c>
      <c r="V44">
        <v>20</v>
      </c>
      <c r="W44">
        <v>8494</v>
      </c>
      <c r="X44" s="15">
        <v>564</v>
      </c>
      <c r="Y44">
        <v>42.7</v>
      </c>
      <c r="Z44">
        <v>2</v>
      </c>
      <c r="AA44">
        <v>2.77</v>
      </c>
      <c r="AF44">
        <v>14</v>
      </c>
      <c r="AG44">
        <v>8646</v>
      </c>
      <c r="AH44" s="25">
        <v>653</v>
      </c>
      <c r="AI44">
        <v>2.19</v>
      </c>
      <c r="AJ44">
        <v>1</v>
      </c>
      <c r="AK44" s="25">
        <v>2.0499999999999998</v>
      </c>
    </row>
    <row r="45" spans="2:47">
      <c r="B45">
        <v>18</v>
      </c>
      <c r="C45">
        <v>8086</v>
      </c>
      <c r="D45" s="12">
        <v>404</v>
      </c>
      <c r="E45">
        <v>13.6</v>
      </c>
      <c r="F45">
        <v>1</v>
      </c>
      <c r="G45">
        <v>1.27</v>
      </c>
      <c r="K45" s="6">
        <v>45986</v>
      </c>
      <c r="L45" s="15">
        <v>14</v>
      </c>
      <c r="M45" s="15">
        <v>8379</v>
      </c>
      <c r="N45" s="12">
        <v>480</v>
      </c>
      <c r="O45" s="15">
        <v>77.010000000000005</v>
      </c>
      <c r="P45" s="15">
        <v>1</v>
      </c>
      <c r="Q45" s="15">
        <v>2.0499999999999998</v>
      </c>
      <c r="U45" s="7">
        <v>45629</v>
      </c>
      <c r="V45" s="12">
        <v>14</v>
      </c>
      <c r="W45" s="12">
        <v>8524</v>
      </c>
      <c r="X45" s="15">
        <v>565</v>
      </c>
      <c r="Y45" s="12">
        <v>33.5</v>
      </c>
      <c r="Z45" s="12">
        <v>1</v>
      </c>
      <c r="AA45" s="12">
        <v>2.0499999999999998</v>
      </c>
      <c r="AF45">
        <v>14</v>
      </c>
      <c r="AG45">
        <v>8647</v>
      </c>
      <c r="AH45" s="25">
        <v>654</v>
      </c>
      <c r="AI45">
        <v>2.19</v>
      </c>
      <c r="AJ45">
        <v>1</v>
      </c>
      <c r="AK45" s="25">
        <v>2.0499999999999998</v>
      </c>
    </row>
    <row r="46" spans="2:47">
      <c r="B46">
        <v>18</v>
      </c>
      <c r="C46">
        <v>8087</v>
      </c>
      <c r="D46" s="12">
        <v>405</v>
      </c>
      <c r="E46">
        <v>13.6</v>
      </c>
      <c r="F46">
        <v>1</v>
      </c>
      <c r="G46">
        <v>1.27</v>
      </c>
      <c r="L46">
        <v>14</v>
      </c>
      <c r="M46">
        <v>8380</v>
      </c>
      <c r="N46" s="12">
        <v>481</v>
      </c>
      <c r="O46">
        <v>77.010000000000005</v>
      </c>
      <c r="P46">
        <v>1</v>
      </c>
      <c r="Q46">
        <v>2.0499999999999998</v>
      </c>
      <c r="V46">
        <v>14</v>
      </c>
      <c r="W46">
        <v>8525</v>
      </c>
      <c r="X46" s="15">
        <v>566</v>
      </c>
      <c r="Y46">
        <v>33.5</v>
      </c>
      <c r="Z46">
        <v>1</v>
      </c>
      <c r="AA46">
        <v>2.0499999999999998</v>
      </c>
      <c r="AF46">
        <v>14</v>
      </c>
      <c r="AG46">
        <v>8648</v>
      </c>
      <c r="AH46" s="25">
        <v>655</v>
      </c>
      <c r="AI46">
        <v>2.19</v>
      </c>
      <c r="AJ46">
        <v>1</v>
      </c>
      <c r="AK46" s="25">
        <v>2.0499999999999998</v>
      </c>
    </row>
    <row r="47" spans="2:47">
      <c r="B47">
        <v>18</v>
      </c>
      <c r="C47">
        <v>8088</v>
      </c>
      <c r="D47" s="12">
        <v>406</v>
      </c>
      <c r="E47">
        <v>13.6</v>
      </c>
      <c r="F47">
        <v>1</v>
      </c>
      <c r="G47">
        <v>1.27</v>
      </c>
      <c r="L47">
        <v>14</v>
      </c>
      <c r="M47">
        <v>8381</v>
      </c>
      <c r="N47" s="12">
        <v>482</v>
      </c>
      <c r="O47">
        <v>77.010000000000005</v>
      </c>
      <c r="P47">
        <v>1</v>
      </c>
      <c r="Q47">
        <v>2.0499999999999998</v>
      </c>
      <c r="V47">
        <v>14</v>
      </c>
      <c r="W47">
        <v>8526</v>
      </c>
      <c r="X47" s="15">
        <v>567</v>
      </c>
      <c r="Y47">
        <v>33.5</v>
      </c>
      <c r="Z47">
        <v>1</v>
      </c>
      <c r="AA47">
        <v>2.0499999999999998</v>
      </c>
      <c r="AF47">
        <v>14</v>
      </c>
      <c r="AG47">
        <v>8649</v>
      </c>
      <c r="AH47" s="25">
        <v>656</v>
      </c>
      <c r="AI47">
        <v>2.19</v>
      </c>
      <c r="AJ47">
        <v>1</v>
      </c>
      <c r="AK47" s="25">
        <v>2.0499999999999998</v>
      </c>
    </row>
    <row r="48" spans="2:47">
      <c r="B48">
        <v>18</v>
      </c>
      <c r="C48">
        <v>8089</v>
      </c>
      <c r="D48" s="12">
        <v>407</v>
      </c>
      <c r="E48">
        <v>13.6</v>
      </c>
      <c r="F48">
        <v>1</v>
      </c>
      <c r="G48">
        <v>1.27</v>
      </c>
      <c r="L48">
        <v>14</v>
      </c>
      <c r="M48">
        <v>8382</v>
      </c>
      <c r="N48" s="12">
        <v>483</v>
      </c>
      <c r="O48">
        <v>77.010000000000005</v>
      </c>
      <c r="P48">
        <v>1</v>
      </c>
      <c r="Q48">
        <v>2.0499999999999998</v>
      </c>
      <c r="V48">
        <v>14</v>
      </c>
      <c r="W48">
        <v>8527</v>
      </c>
      <c r="X48" s="15">
        <v>568</v>
      </c>
      <c r="Y48">
        <v>33.5</v>
      </c>
      <c r="Z48">
        <v>1</v>
      </c>
      <c r="AA48">
        <v>2.0499999999999998</v>
      </c>
      <c r="AF48" s="15">
        <v>15</v>
      </c>
      <c r="AG48" s="15">
        <v>8650</v>
      </c>
      <c r="AH48" s="25">
        <v>657</v>
      </c>
      <c r="AI48" s="15">
        <v>10.81</v>
      </c>
      <c r="AJ48" s="15">
        <v>1</v>
      </c>
      <c r="AK48" s="15">
        <v>1.75</v>
      </c>
    </row>
    <row r="49" spans="2:37">
      <c r="B49">
        <v>18</v>
      </c>
      <c r="C49">
        <v>8090</v>
      </c>
      <c r="D49" s="12">
        <v>408</v>
      </c>
      <c r="E49">
        <v>13.6</v>
      </c>
      <c r="F49">
        <v>1</v>
      </c>
      <c r="G49">
        <v>1.27</v>
      </c>
      <c r="L49">
        <v>14</v>
      </c>
      <c r="M49">
        <v>8383</v>
      </c>
      <c r="N49" s="12">
        <v>484</v>
      </c>
      <c r="O49">
        <v>77.010000000000005</v>
      </c>
      <c r="P49">
        <v>1</v>
      </c>
      <c r="Q49">
        <v>2.0499999999999998</v>
      </c>
      <c r="V49">
        <v>14</v>
      </c>
      <c r="W49">
        <v>8528</v>
      </c>
      <c r="X49" s="15">
        <v>569</v>
      </c>
      <c r="Y49">
        <v>33.5</v>
      </c>
      <c r="Z49">
        <v>1</v>
      </c>
      <c r="AA49">
        <v>2.0499999999999998</v>
      </c>
      <c r="AF49">
        <v>15</v>
      </c>
      <c r="AG49">
        <v>8651</v>
      </c>
      <c r="AH49" s="25">
        <v>658</v>
      </c>
      <c r="AI49">
        <v>10.81</v>
      </c>
      <c r="AJ49">
        <v>1</v>
      </c>
      <c r="AK49" s="15">
        <v>1.75</v>
      </c>
    </row>
    <row r="50" spans="2:37">
      <c r="B50">
        <v>18</v>
      </c>
      <c r="C50">
        <v>8091</v>
      </c>
      <c r="D50" s="12">
        <v>409</v>
      </c>
      <c r="E50">
        <v>13.6</v>
      </c>
      <c r="F50">
        <v>1</v>
      </c>
      <c r="G50">
        <v>1.27</v>
      </c>
      <c r="L50">
        <v>14</v>
      </c>
      <c r="M50">
        <v>8384</v>
      </c>
      <c r="N50" s="12">
        <v>485</v>
      </c>
      <c r="O50">
        <v>77.010000000000005</v>
      </c>
      <c r="P50">
        <v>1</v>
      </c>
      <c r="Q50">
        <v>2.0499999999999998</v>
      </c>
      <c r="V50" s="15">
        <v>15</v>
      </c>
      <c r="W50" s="15">
        <v>8529</v>
      </c>
      <c r="X50" s="15">
        <v>570</v>
      </c>
      <c r="Y50" s="15">
        <v>3.98</v>
      </c>
      <c r="Z50" s="15">
        <v>1</v>
      </c>
      <c r="AA50" s="15">
        <v>1.75</v>
      </c>
      <c r="AF50">
        <v>15</v>
      </c>
      <c r="AG50">
        <v>8652</v>
      </c>
      <c r="AH50" s="25">
        <v>659</v>
      </c>
      <c r="AI50">
        <v>10.81</v>
      </c>
      <c r="AJ50">
        <v>1</v>
      </c>
      <c r="AK50" s="15">
        <v>1.75</v>
      </c>
    </row>
    <row r="51" spans="2:37">
      <c r="B51">
        <v>18</v>
      </c>
      <c r="C51">
        <v>8094</v>
      </c>
      <c r="D51" s="12">
        <v>410</v>
      </c>
      <c r="E51">
        <v>13.6</v>
      </c>
      <c r="F51">
        <v>1</v>
      </c>
      <c r="G51">
        <v>1.27</v>
      </c>
      <c r="L51" s="12">
        <v>15</v>
      </c>
      <c r="M51" s="12">
        <v>8385</v>
      </c>
      <c r="N51" s="12">
        <v>486</v>
      </c>
      <c r="O51" s="12">
        <v>75.900000000000006</v>
      </c>
      <c r="P51" s="12">
        <v>1</v>
      </c>
      <c r="Q51" s="12">
        <v>1.75</v>
      </c>
      <c r="V51">
        <v>15</v>
      </c>
      <c r="W51">
        <v>8530</v>
      </c>
      <c r="X51" s="15">
        <v>571</v>
      </c>
      <c r="Y51">
        <v>3.98</v>
      </c>
      <c r="Z51">
        <v>1</v>
      </c>
      <c r="AA51">
        <v>1.75</v>
      </c>
      <c r="AF51">
        <v>15</v>
      </c>
      <c r="AG51">
        <v>8653</v>
      </c>
      <c r="AH51" s="25">
        <v>660</v>
      </c>
      <c r="AI51">
        <v>10.81</v>
      </c>
      <c r="AJ51">
        <v>1</v>
      </c>
      <c r="AK51" s="15">
        <v>1.75</v>
      </c>
    </row>
    <row r="52" spans="2:37">
      <c r="B52">
        <v>18</v>
      </c>
      <c r="C52">
        <v>8095</v>
      </c>
      <c r="D52" s="12">
        <v>411</v>
      </c>
      <c r="E52">
        <v>13.6</v>
      </c>
      <c r="F52">
        <v>1</v>
      </c>
      <c r="G52">
        <v>1.27</v>
      </c>
      <c r="L52">
        <v>15</v>
      </c>
      <c r="M52">
        <v>8386</v>
      </c>
      <c r="N52" s="12">
        <v>487</v>
      </c>
      <c r="O52">
        <v>75.900000000000006</v>
      </c>
      <c r="P52">
        <v>1</v>
      </c>
      <c r="Q52">
        <v>1.75</v>
      </c>
      <c r="V52">
        <v>15</v>
      </c>
      <c r="W52">
        <v>8531</v>
      </c>
      <c r="X52" s="15">
        <v>572</v>
      </c>
      <c r="Y52">
        <v>3.98</v>
      </c>
      <c r="Z52">
        <v>1</v>
      </c>
      <c r="AA52">
        <v>1.75</v>
      </c>
      <c r="AF52">
        <v>15</v>
      </c>
      <c r="AG52">
        <v>8654</v>
      </c>
      <c r="AH52" s="25">
        <v>661</v>
      </c>
      <c r="AI52">
        <v>10.81</v>
      </c>
      <c r="AJ52">
        <v>1</v>
      </c>
      <c r="AK52" s="15">
        <v>1.75</v>
      </c>
    </row>
    <row r="53" spans="2:37">
      <c r="B53">
        <v>18</v>
      </c>
      <c r="C53">
        <v>8096</v>
      </c>
      <c r="D53" s="12">
        <v>412</v>
      </c>
      <c r="E53">
        <v>13.6</v>
      </c>
      <c r="F53">
        <v>1</v>
      </c>
      <c r="G53">
        <v>1.27</v>
      </c>
      <c r="L53">
        <v>15</v>
      </c>
      <c r="M53">
        <v>8387</v>
      </c>
      <c r="N53" s="12">
        <v>488</v>
      </c>
      <c r="O53">
        <v>75.900000000000006</v>
      </c>
      <c r="P53">
        <v>1</v>
      </c>
      <c r="Q53">
        <v>1.75</v>
      </c>
      <c r="V53">
        <v>15</v>
      </c>
      <c r="W53">
        <v>8532</v>
      </c>
      <c r="X53" s="15">
        <v>573</v>
      </c>
      <c r="Y53">
        <v>3.98</v>
      </c>
      <c r="Z53">
        <v>1</v>
      </c>
      <c r="AA53">
        <v>1.75</v>
      </c>
      <c r="AF53">
        <v>15</v>
      </c>
      <c r="AG53">
        <v>8655</v>
      </c>
      <c r="AH53" s="25">
        <v>662</v>
      </c>
      <c r="AI53">
        <v>10.81</v>
      </c>
      <c r="AJ53">
        <v>1</v>
      </c>
      <c r="AK53" s="15">
        <v>1.75</v>
      </c>
    </row>
    <row r="54" spans="2:37">
      <c r="B54">
        <v>18</v>
      </c>
      <c r="C54">
        <v>8097</v>
      </c>
      <c r="D54" s="12">
        <v>413</v>
      </c>
      <c r="E54">
        <v>13.6</v>
      </c>
      <c r="F54">
        <v>1</v>
      </c>
      <c r="G54">
        <v>1.27</v>
      </c>
      <c r="L54">
        <v>15</v>
      </c>
      <c r="M54">
        <v>8388</v>
      </c>
      <c r="N54" s="12">
        <v>489</v>
      </c>
      <c r="O54">
        <v>75.900000000000006</v>
      </c>
      <c r="P54">
        <v>1</v>
      </c>
      <c r="Q54">
        <v>1.75</v>
      </c>
      <c r="V54">
        <v>15</v>
      </c>
      <c r="W54">
        <v>8533</v>
      </c>
      <c r="X54" s="15">
        <v>574</v>
      </c>
      <c r="Y54">
        <v>3.98</v>
      </c>
      <c r="Z54">
        <v>1</v>
      </c>
      <c r="AA54">
        <v>1.75</v>
      </c>
      <c r="AF54" s="12">
        <v>16</v>
      </c>
      <c r="AG54" s="12">
        <v>8656</v>
      </c>
      <c r="AH54" s="25">
        <v>663</v>
      </c>
      <c r="AI54" s="12">
        <v>10.69</v>
      </c>
      <c r="AJ54" s="12">
        <v>1</v>
      </c>
      <c r="AK54" s="12">
        <v>2.66</v>
      </c>
    </row>
    <row r="55" spans="2:37">
      <c r="B55">
        <v>18</v>
      </c>
      <c r="C55">
        <v>8098</v>
      </c>
      <c r="D55" s="12">
        <v>414</v>
      </c>
      <c r="E55">
        <v>13.6</v>
      </c>
      <c r="F55">
        <v>1</v>
      </c>
      <c r="G55">
        <v>1.27</v>
      </c>
      <c r="L55">
        <v>15</v>
      </c>
      <c r="M55">
        <v>8389</v>
      </c>
      <c r="N55" s="12">
        <v>490</v>
      </c>
      <c r="O55">
        <v>75.900000000000006</v>
      </c>
      <c r="P55">
        <v>1</v>
      </c>
      <c r="Q55">
        <v>1.75</v>
      </c>
      <c r="V55">
        <v>15</v>
      </c>
      <c r="W55">
        <v>8534</v>
      </c>
      <c r="X55" s="15">
        <v>575</v>
      </c>
      <c r="Y55">
        <v>3.98</v>
      </c>
      <c r="Z55">
        <v>1</v>
      </c>
      <c r="AA55">
        <v>1.75</v>
      </c>
      <c r="AF55">
        <v>16</v>
      </c>
      <c r="AG55">
        <v>8657</v>
      </c>
      <c r="AH55" s="25">
        <v>664</v>
      </c>
      <c r="AI55">
        <v>10.69</v>
      </c>
      <c r="AJ55">
        <v>1</v>
      </c>
      <c r="AK55" s="12">
        <v>2.66</v>
      </c>
    </row>
    <row r="56" spans="2:37">
      <c r="B56">
        <v>18</v>
      </c>
      <c r="C56">
        <v>8102</v>
      </c>
      <c r="D56" s="12">
        <v>415</v>
      </c>
      <c r="E56">
        <v>13.6</v>
      </c>
      <c r="F56">
        <v>1</v>
      </c>
      <c r="G56">
        <v>1.27</v>
      </c>
      <c r="L56">
        <v>15</v>
      </c>
      <c r="M56">
        <v>8390</v>
      </c>
      <c r="N56" s="12">
        <v>491</v>
      </c>
      <c r="O56">
        <v>75.900000000000006</v>
      </c>
      <c r="P56">
        <v>1</v>
      </c>
      <c r="Q56">
        <v>1.75</v>
      </c>
      <c r="V56">
        <v>15</v>
      </c>
      <c r="W56">
        <v>8535</v>
      </c>
      <c r="X56" s="15">
        <v>576</v>
      </c>
      <c r="Y56">
        <v>3.98</v>
      </c>
      <c r="Z56">
        <v>1</v>
      </c>
      <c r="AA56">
        <v>1.75</v>
      </c>
      <c r="AF56">
        <v>16</v>
      </c>
      <c r="AG56">
        <v>8658</v>
      </c>
      <c r="AH56" s="25">
        <v>665</v>
      </c>
      <c r="AI56">
        <v>10.69</v>
      </c>
      <c r="AJ56">
        <v>1</v>
      </c>
      <c r="AK56" s="12">
        <v>2.66</v>
      </c>
    </row>
    <row r="57" spans="2:37">
      <c r="B57" s="15">
        <v>19</v>
      </c>
      <c r="C57" s="15">
        <v>8054</v>
      </c>
      <c r="D57" s="12">
        <v>416</v>
      </c>
      <c r="E57" s="15">
        <v>19.399999999999999</v>
      </c>
      <c r="F57" s="15">
        <v>2</v>
      </c>
      <c r="G57" s="15">
        <v>2.5099999999999998</v>
      </c>
      <c r="L57" s="15">
        <v>16</v>
      </c>
      <c r="M57" s="15">
        <v>8391</v>
      </c>
      <c r="N57" s="12">
        <v>492</v>
      </c>
      <c r="O57" s="15">
        <v>65.56</v>
      </c>
      <c r="P57" s="15">
        <v>1</v>
      </c>
      <c r="Q57" s="15">
        <v>2.66</v>
      </c>
      <c r="V57" s="12">
        <v>16</v>
      </c>
      <c r="W57" s="12">
        <v>8536</v>
      </c>
      <c r="X57" s="15">
        <v>577</v>
      </c>
      <c r="Y57" s="12">
        <v>37</v>
      </c>
      <c r="Z57" s="12">
        <v>1</v>
      </c>
      <c r="AA57" s="12">
        <v>2.66</v>
      </c>
      <c r="AF57">
        <v>16</v>
      </c>
      <c r="AG57">
        <v>8659</v>
      </c>
      <c r="AH57" s="25">
        <v>666</v>
      </c>
      <c r="AI57">
        <v>10.69</v>
      </c>
      <c r="AJ57">
        <v>1</v>
      </c>
      <c r="AK57" s="12">
        <v>2.66</v>
      </c>
    </row>
    <row r="58" spans="2:37">
      <c r="B58">
        <v>19</v>
      </c>
      <c r="C58">
        <v>8055</v>
      </c>
      <c r="D58" s="12">
        <v>417</v>
      </c>
      <c r="E58">
        <v>19.399999999999999</v>
      </c>
      <c r="F58">
        <v>2</v>
      </c>
      <c r="G58">
        <v>2.5099999999999998</v>
      </c>
      <c r="L58">
        <v>16</v>
      </c>
      <c r="M58">
        <v>8392</v>
      </c>
      <c r="N58" s="12">
        <v>493</v>
      </c>
      <c r="O58">
        <v>65.56</v>
      </c>
      <c r="P58">
        <v>1</v>
      </c>
      <c r="Q58">
        <v>2.66</v>
      </c>
      <c r="V58">
        <v>16</v>
      </c>
      <c r="W58">
        <v>8537</v>
      </c>
      <c r="X58" s="15">
        <v>578</v>
      </c>
      <c r="Y58">
        <v>37</v>
      </c>
      <c r="Z58">
        <v>1</v>
      </c>
      <c r="AA58">
        <v>2.66</v>
      </c>
      <c r="AF58">
        <v>16</v>
      </c>
      <c r="AG58">
        <v>8660</v>
      </c>
      <c r="AH58" s="25">
        <v>667</v>
      </c>
      <c r="AI58">
        <v>10.69</v>
      </c>
      <c r="AJ58">
        <v>1</v>
      </c>
      <c r="AK58" s="12">
        <v>2.66</v>
      </c>
    </row>
    <row r="59" spans="2:37">
      <c r="B59">
        <v>19</v>
      </c>
      <c r="C59">
        <v>8056</v>
      </c>
      <c r="D59" s="12">
        <v>418</v>
      </c>
      <c r="E59">
        <v>19.399999999999999</v>
      </c>
      <c r="F59">
        <v>2</v>
      </c>
      <c r="G59">
        <v>2.5099999999999998</v>
      </c>
      <c r="L59">
        <v>16</v>
      </c>
      <c r="M59">
        <v>8393</v>
      </c>
      <c r="N59" s="12">
        <v>494</v>
      </c>
      <c r="O59">
        <v>65.56</v>
      </c>
      <c r="P59">
        <v>1</v>
      </c>
      <c r="Q59">
        <v>2.66</v>
      </c>
      <c r="V59">
        <v>16</v>
      </c>
      <c r="W59">
        <v>8538</v>
      </c>
      <c r="X59" s="15">
        <v>579</v>
      </c>
      <c r="Y59">
        <v>37</v>
      </c>
      <c r="Z59">
        <v>1</v>
      </c>
      <c r="AA59">
        <v>2.66</v>
      </c>
      <c r="AF59">
        <v>16</v>
      </c>
      <c r="AG59">
        <v>8661</v>
      </c>
      <c r="AH59" s="25">
        <v>668</v>
      </c>
      <c r="AI59">
        <v>10.69</v>
      </c>
      <c r="AJ59">
        <v>1</v>
      </c>
      <c r="AK59" s="12">
        <v>2.66</v>
      </c>
    </row>
    <row r="60" spans="2:37">
      <c r="B60">
        <v>19</v>
      </c>
      <c r="C60">
        <v>8057</v>
      </c>
      <c r="D60" s="12">
        <v>419</v>
      </c>
      <c r="E60">
        <v>19.399999999999999</v>
      </c>
      <c r="F60">
        <v>2</v>
      </c>
      <c r="G60">
        <v>2.5099999999999998</v>
      </c>
      <c r="L60">
        <v>16</v>
      </c>
      <c r="M60">
        <v>8394</v>
      </c>
      <c r="N60" s="12">
        <v>495</v>
      </c>
      <c r="O60">
        <v>65.56</v>
      </c>
      <c r="P60">
        <v>1</v>
      </c>
      <c r="Q60">
        <v>2.66</v>
      </c>
      <c r="V60">
        <v>16</v>
      </c>
      <c r="W60">
        <v>8539</v>
      </c>
      <c r="X60" s="15">
        <v>580</v>
      </c>
      <c r="Y60">
        <v>37</v>
      </c>
      <c r="Z60">
        <v>1</v>
      </c>
      <c r="AA60">
        <v>2.66</v>
      </c>
      <c r="AF60" s="15">
        <v>17</v>
      </c>
      <c r="AG60" s="15">
        <v>8662</v>
      </c>
      <c r="AH60" s="25">
        <v>669</v>
      </c>
      <c r="AI60" s="15">
        <v>3.65</v>
      </c>
      <c r="AJ60" s="15">
        <v>1</v>
      </c>
      <c r="AK60" s="15">
        <v>1.59</v>
      </c>
    </row>
    <row r="61" spans="2:37">
      <c r="B61">
        <v>19</v>
      </c>
      <c r="C61">
        <v>8058</v>
      </c>
      <c r="D61" s="12">
        <v>420</v>
      </c>
      <c r="E61">
        <v>19.399999999999999</v>
      </c>
      <c r="F61">
        <v>2</v>
      </c>
      <c r="G61">
        <v>2.5099999999999998</v>
      </c>
      <c r="L61">
        <v>16</v>
      </c>
      <c r="M61">
        <v>8395</v>
      </c>
      <c r="N61" s="12">
        <v>496</v>
      </c>
      <c r="O61">
        <v>65.56</v>
      </c>
      <c r="P61">
        <v>1</v>
      </c>
      <c r="Q61">
        <v>2.66</v>
      </c>
      <c r="V61">
        <v>16</v>
      </c>
      <c r="W61">
        <v>8540</v>
      </c>
      <c r="X61" s="15">
        <v>581</v>
      </c>
      <c r="Y61">
        <v>37</v>
      </c>
      <c r="Z61">
        <v>1</v>
      </c>
      <c r="AA61">
        <v>2.66</v>
      </c>
      <c r="AF61">
        <v>17</v>
      </c>
      <c r="AG61">
        <v>8663</v>
      </c>
      <c r="AH61" s="25">
        <v>670</v>
      </c>
      <c r="AI61">
        <v>3.65</v>
      </c>
      <c r="AJ61">
        <v>1</v>
      </c>
      <c r="AK61" s="15">
        <v>1.59</v>
      </c>
    </row>
    <row r="62" spans="2:37">
      <c r="B62">
        <v>19</v>
      </c>
      <c r="C62">
        <v>8059</v>
      </c>
      <c r="D62" s="12">
        <v>421</v>
      </c>
      <c r="E62">
        <v>19.399999999999999</v>
      </c>
      <c r="F62">
        <v>2</v>
      </c>
      <c r="G62">
        <v>2.5099999999999998</v>
      </c>
      <c r="L62">
        <v>16</v>
      </c>
      <c r="M62">
        <v>8396</v>
      </c>
      <c r="N62" s="12">
        <v>497</v>
      </c>
      <c r="O62">
        <v>65.56</v>
      </c>
      <c r="P62">
        <v>1</v>
      </c>
      <c r="Q62">
        <v>2.66</v>
      </c>
      <c r="V62">
        <v>16</v>
      </c>
      <c r="W62">
        <v>8541</v>
      </c>
      <c r="X62" s="15">
        <v>582</v>
      </c>
      <c r="Y62">
        <v>37</v>
      </c>
      <c r="Z62">
        <v>1</v>
      </c>
      <c r="AA62">
        <v>2.66</v>
      </c>
      <c r="AF62">
        <v>17</v>
      </c>
      <c r="AG62">
        <v>8664</v>
      </c>
      <c r="AH62" s="25">
        <v>671</v>
      </c>
      <c r="AI62">
        <v>3.65</v>
      </c>
      <c r="AJ62">
        <v>1</v>
      </c>
      <c r="AK62" s="15">
        <v>1.59</v>
      </c>
    </row>
    <row r="63" spans="2:37">
      <c r="B63">
        <v>19</v>
      </c>
      <c r="C63">
        <v>8060</v>
      </c>
      <c r="D63" s="12">
        <v>422</v>
      </c>
      <c r="E63">
        <v>19.399999999999999</v>
      </c>
      <c r="F63">
        <v>2</v>
      </c>
      <c r="G63">
        <v>2.5099999999999998</v>
      </c>
      <c r="L63" s="15">
        <v>17</v>
      </c>
      <c r="M63" s="15">
        <v>8397</v>
      </c>
      <c r="N63" s="12">
        <v>498</v>
      </c>
      <c r="O63" s="15">
        <v>51.52</v>
      </c>
      <c r="P63" s="15">
        <v>1</v>
      </c>
      <c r="Q63" s="15">
        <v>1.59</v>
      </c>
      <c r="V63">
        <v>16</v>
      </c>
      <c r="W63">
        <v>8542</v>
      </c>
      <c r="X63" s="15">
        <v>583</v>
      </c>
      <c r="Y63">
        <v>37</v>
      </c>
      <c r="Z63">
        <v>1</v>
      </c>
      <c r="AA63">
        <v>2.66</v>
      </c>
      <c r="AF63">
        <v>17</v>
      </c>
      <c r="AG63">
        <v>8665</v>
      </c>
      <c r="AH63" s="25">
        <v>672</v>
      </c>
      <c r="AI63">
        <v>3.65</v>
      </c>
      <c r="AJ63">
        <v>1</v>
      </c>
      <c r="AK63" s="15">
        <v>1.59</v>
      </c>
    </row>
    <row r="64" spans="2:37">
      <c r="B64">
        <v>19</v>
      </c>
      <c r="C64">
        <v>8061</v>
      </c>
      <c r="D64" s="12">
        <v>423</v>
      </c>
      <c r="E64">
        <v>19.399999999999999</v>
      </c>
      <c r="F64">
        <v>2</v>
      </c>
      <c r="G64">
        <v>2.5099999999999998</v>
      </c>
      <c r="L64">
        <v>17</v>
      </c>
      <c r="M64">
        <v>8398</v>
      </c>
      <c r="N64" s="12">
        <v>499</v>
      </c>
      <c r="O64">
        <v>51.52</v>
      </c>
      <c r="P64">
        <v>1</v>
      </c>
      <c r="Q64">
        <v>1.59</v>
      </c>
      <c r="V64" s="15">
        <v>17</v>
      </c>
      <c r="W64" s="15">
        <v>8543</v>
      </c>
      <c r="X64" s="15">
        <v>584</v>
      </c>
      <c r="Y64" s="15">
        <v>23.77</v>
      </c>
      <c r="Z64" s="15">
        <v>1</v>
      </c>
      <c r="AA64" s="15">
        <v>1.59</v>
      </c>
      <c r="AF64">
        <v>17</v>
      </c>
      <c r="AG64">
        <v>8666</v>
      </c>
      <c r="AH64" s="25">
        <v>673</v>
      </c>
      <c r="AI64">
        <v>3.65</v>
      </c>
      <c r="AJ64">
        <v>1</v>
      </c>
      <c r="AK64" s="15">
        <v>1.59</v>
      </c>
    </row>
    <row r="65" spans="2:37">
      <c r="B65">
        <v>19</v>
      </c>
      <c r="C65">
        <v>8062</v>
      </c>
      <c r="D65" s="12">
        <v>424</v>
      </c>
      <c r="E65">
        <v>19.399999999999999</v>
      </c>
      <c r="F65">
        <v>2</v>
      </c>
      <c r="G65">
        <v>2.5099999999999998</v>
      </c>
      <c r="L65">
        <v>17</v>
      </c>
      <c r="M65">
        <v>8399</v>
      </c>
      <c r="N65" s="12">
        <v>500</v>
      </c>
      <c r="O65">
        <v>51.52</v>
      </c>
      <c r="P65">
        <v>1</v>
      </c>
      <c r="Q65">
        <v>1.59</v>
      </c>
      <c r="V65">
        <v>17</v>
      </c>
      <c r="W65">
        <v>8544</v>
      </c>
      <c r="X65" s="15">
        <v>585</v>
      </c>
      <c r="Y65">
        <v>23.77</v>
      </c>
      <c r="Z65">
        <v>1</v>
      </c>
      <c r="AA65">
        <v>1.59</v>
      </c>
      <c r="AF65" s="24">
        <v>18</v>
      </c>
      <c r="AG65" s="24">
        <v>8667</v>
      </c>
      <c r="AH65" s="25">
        <v>674</v>
      </c>
      <c r="AI65" s="24">
        <v>4.3099999999999996</v>
      </c>
      <c r="AJ65" s="24">
        <v>1</v>
      </c>
      <c r="AK65" s="24">
        <v>1.27</v>
      </c>
    </row>
    <row r="66" spans="2:37">
      <c r="B66">
        <v>19</v>
      </c>
      <c r="C66">
        <v>8063</v>
      </c>
      <c r="D66" s="12">
        <v>425</v>
      </c>
      <c r="E66">
        <v>19.399999999999999</v>
      </c>
      <c r="F66">
        <v>2</v>
      </c>
      <c r="G66">
        <v>2.5099999999999998</v>
      </c>
      <c r="L66">
        <v>17</v>
      </c>
      <c r="M66">
        <v>8400</v>
      </c>
      <c r="N66" s="12">
        <v>501</v>
      </c>
      <c r="O66">
        <v>51.52</v>
      </c>
      <c r="P66">
        <v>1</v>
      </c>
      <c r="Q66">
        <v>1.59</v>
      </c>
      <c r="V66">
        <v>17</v>
      </c>
      <c r="W66">
        <v>8545</v>
      </c>
      <c r="X66" s="15">
        <v>586</v>
      </c>
      <c r="Y66">
        <v>23.77</v>
      </c>
      <c r="Z66">
        <v>1</v>
      </c>
      <c r="AA66">
        <v>1.59</v>
      </c>
      <c r="AF66">
        <v>18</v>
      </c>
      <c r="AG66">
        <v>8668</v>
      </c>
      <c r="AH66" s="25">
        <v>675</v>
      </c>
      <c r="AI66">
        <v>4.3099999999999996</v>
      </c>
      <c r="AJ66">
        <v>1</v>
      </c>
      <c r="AK66" s="24">
        <v>1.27</v>
      </c>
    </row>
    <row r="67" spans="2:37">
      <c r="B67">
        <v>19</v>
      </c>
      <c r="C67">
        <v>8064</v>
      </c>
      <c r="D67" s="12">
        <v>426</v>
      </c>
      <c r="E67">
        <v>19.399999999999999</v>
      </c>
      <c r="F67">
        <v>2</v>
      </c>
      <c r="G67">
        <v>2.5099999999999998</v>
      </c>
      <c r="L67">
        <v>17</v>
      </c>
      <c r="M67">
        <v>8401</v>
      </c>
      <c r="N67" s="12">
        <v>502</v>
      </c>
      <c r="O67">
        <v>51.52</v>
      </c>
      <c r="P67">
        <v>1</v>
      </c>
      <c r="Q67">
        <v>1.59</v>
      </c>
      <c r="V67">
        <v>17</v>
      </c>
      <c r="W67">
        <v>8546</v>
      </c>
      <c r="X67" s="15">
        <v>587</v>
      </c>
      <c r="Y67">
        <v>23.77</v>
      </c>
      <c r="Z67">
        <v>1</v>
      </c>
      <c r="AA67">
        <v>1.59</v>
      </c>
      <c r="AF67">
        <v>18</v>
      </c>
      <c r="AG67">
        <v>8669</v>
      </c>
      <c r="AH67" s="25">
        <v>676</v>
      </c>
      <c r="AI67">
        <v>4.3099999999999996</v>
      </c>
      <c r="AJ67">
        <v>1</v>
      </c>
      <c r="AK67" s="24">
        <v>1.27</v>
      </c>
    </row>
    <row r="68" spans="2:37">
      <c r="B68" s="12">
        <v>20</v>
      </c>
      <c r="C68" s="12">
        <v>8065</v>
      </c>
      <c r="D68" s="12">
        <v>427</v>
      </c>
      <c r="E68" s="12">
        <v>18.600000000000001</v>
      </c>
      <c r="F68" s="12">
        <v>2</v>
      </c>
      <c r="G68" s="12">
        <v>2.77</v>
      </c>
      <c r="L68" s="12">
        <v>18</v>
      </c>
      <c r="M68" s="12">
        <v>8402</v>
      </c>
      <c r="N68" s="12">
        <v>503</v>
      </c>
      <c r="O68" s="12">
        <v>60.16</v>
      </c>
      <c r="P68" s="12">
        <v>1</v>
      </c>
      <c r="Q68" s="12">
        <v>1.27</v>
      </c>
      <c r="V68">
        <v>17</v>
      </c>
      <c r="W68">
        <v>8547</v>
      </c>
      <c r="X68" s="15">
        <v>588</v>
      </c>
      <c r="Y68">
        <v>23.77</v>
      </c>
      <c r="Z68">
        <v>1</v>
      </c>
      <c r="AA68">
        <v>1.59</v>
      </c>
      <c r="AF68">
        <v>18</v>
      </c>
      <c r="AG68">
        <v>8670</v>
      </c>
      <c r="AH68" s="25">
        <v>677</v>
      </c>
      <c r="AI68">
        <v>4.3099999999999996</v>
      </c>
      <c r="AJ68">
        <v>1</v>
      </c>
      <c r="AK68" s="24">
        <v>1.27</v>
      </c>
    </row>
    <row r="69" spans="2:37">
      <c r="B69">
        <v>20</v>
      </c>
      <c r="C69">
        <v>8066</v>
      </c>
      <c r="D69" s="12">
        <v>428</v>
      </c>
      <c r="E69">
        <v>18.600000000000001</v>
      </c>
      <c r="F69">
        <v>2</v>
      </c>
      <c r="G69">
        <v>2.77</v>
      </c>
      <c r="L69">
        <v>18</v>
      </c>
      <c r="M69">
        <v>8403</v>
      </c>
      <c r="N69" s="12">
        <v>504</v>
      </c>
      <c r="O69">
        <v>60.16</v>
      </c>
      <c r="P69">
        <v>1</v>
      </c>
      <c r="Q69">
        <v>1.27</v>
      </c>
      <c r="V69">
        <v>17</v>
      </c>
      <c r="W69">
        <v>8548</v>
      </c>
      <c r="X69" s="15">
        <v>589</v>
      </c>
      <c r="Y69">
        <v>23.77</v>
      </c>
      <c r="Z69">
        <v>1</v>
      </c>
      <c r="AA69">
        <v>1.59</v>
      </c>
      <c r="AF69">
        <v>18</v>
      </c>
      <c r="AG69">
        <v>8671</v>
      </c>
      <c r="AH69" s="25">
        <v>678</v>
      </c>
      <c r="AI69">
        <v>4.3099999999999996</v>
      </c>
      <c r="AJ69">
        <v>1</v>
      </c>
      <c r="AK69" s="24">
        <v>1.27</v>
      </c>
    </row>
    <row r="70" spans="2:37">
      <c r="B70">
        <v>20</v>
      </c>
      <c r="C70">
        <v>8067</v>
      </c>
      <c r="D70" s="12">
        <v>429</v>
      </c>
      <c r="E70">
        <v>18.600000000000001</v>
      </c>
      <c r="F70">
        <v>2</v>
      </c>
      <c r="G70">
        <v>2.77</v>
      </c>
      <c r="L70">
        <v>18</v>
      </c>
      <c r="M70">
        <v>8404</v>
      </c>
      <c r="N70" s="12">
        <v>505</v>
      </c>
      <c r="O70">
        <v>60.16</v>
      </c>
      <c r="P70">
        <v>1</v>
      </c>
      <c r="Q70">
        <v>1.27</v>
      </c>
      <c r="V70" s="12">
        <v>18</v>
      </c>
      <c r="W70" s="12">
        <v>8549</v>
      </c>
      <c r="X70" s="15">
        <v>590</v>
      </c>
      <c r="Y70" s="12">
        <v>26.02</v>
      </c>
      <c r="Z70" s="12">
        <v>1</v>
      </c>
      <c r="AA70" s="12">
        <v>1.27</v>
      </c>
      <c r="AF70" s="15">
        <v>19</v>
      </c>
      <c r="AG70" s="15">
        <v>8672</v>
      </c>
      <c r="AH70" s="25">
        <v>679</v>
      </c>
      <c r="AI70" s="15">
        <v>2.77</v>
      </c>
      <c r="AJ70" s="15">
        <v>2</v>
      </c>
      <c r="AK70" s="15">
        <v>2.5099999999999998</v>
      </c>
    </row>
    <row r="71" spans="2:37">
      <c r="B71">
        <v>20</v>
      </c>
      <c r="C71">
        <v>8068</v>
      </c>
      <c r="D71" s="12">
        <v>430</v>
      </c>
      <c r="E71">
        <v>18.600000000000001</v>
      </c>
      <c r="F71">
        <v>2</v>
      </c>
      <c r="G71">
        <v>2.77</v>
      </c>
      <c r="L71">
        <v>18</v>
      </c>
      <c r="M71">
        <v>8405</v>
      </c>
      <c r="N71" s="12">
        <v>506</v>
      </c>
      <c r="O71">
        <v>60.16</v>
      </c>
      <c r="P71">
        <v>1</v>
      </c>
      <c r="Q71">
        <v>1.27</v>
      </c>
      <c r="V71">
        <v>18</v>
      </c>
      <c r="W71">
        <v>8550</v>
      </c>
      <c r="X71" s="15">
        <v>591</v>
      </c>
      <c r="Y71">
        <v>26.02</v>
      </c>
      <c r="Z71">
        <v>1</v>
      </c>
      <c r="AA71">
        <v>1.27</v>
      </c>
      <c r="AF71">
        <v>19</v>
      </c>
      <c r="AG71">
        <v>8673</v>
      </c>
      <c r="AH71" s="25">
        <v>680</v>
      </c>
      <c r="AI71">
        <v>2.77</v>
      </c>
      <c r="AJ71">
        <v>2</v>
      </c>
      <c r="AK71" s="15">
        <v>2.5099999999999998</v>
      </c>
    </row>
    <row r="72" spans="2:37">
      <c r="B72">
        <v>20</v>
      </c>
      <c r="C72">
        <v>8069</v>
      </c>
      <c r="D72" s="12">
        <v>431</v>
      </c>
      <c r="E72">
        <v>18.600000000000001</v>
      </c>
      <c r="F72">
        <v>2</v>
      </c>
      <c r="G72">
        <v>2.77</v>
      </c>
      <c r="L72">
        <v>18</v>
      </c>
      <c r="M72">
        <v>8406</v>
      </c>
      <c r="N72" s="12">
        <v>507</v>
      </c>
      <c r="O72">
        <v>60.16</v>
      </c>
      <c r="P72">
        <v>1</v>
      </c>
      <c r="Q72">
        <v>1.27</v>
      </c>
      <c r="V72">
        <v>18</v>
      </c>
      <c r="W72">
        <v>8551</v>
      </c>
      <c r="X72" s="15">
        <v>592</v>
      </c>
      <c r="Y72">
        <v>26.02</v>
      </c>
      <c r="Z72">
        <v>1</v>
      </c>
      <c r="AA72">
        <v>1.27</v>
      </c>
      <c r="AF72">
        <v>19</v>
      </c>
      <c r="AG72">
        <v>8674</v>
      </c>
      <c r="AH72" s="25">
        <v>681</v>
      </c>
      <c r="AI72">
        <v>2.77</v>
      </c>
      <c r="AJ72">
        <v>2</v>
      </c>
      <c r="AK72" s="15">
        <v>2.5099999999999998</v>
      </c>
    </row>
    <row r="73" spans="2:37">
      <c r="B73">
        <v>20</v>
      </c>
      <c r="C73">
        <v>8070</v>
      </c>
      <c r="D73" s="12">
        <v>432</v>
      </c>
      <c r="E73">
        <v>18.600000000000001</v>
      </c>
      <c r="F73">
        <v>2</v>
      </c>
      <c r="G73">
        <v>2.77</v>
      </c>
      <c r="L73">
        <v>18</v>
      </c>
      <c r="M73">
        <v>8407</v>
      </c>
      <c r="N73" s="12">
        <v>508</v>
      </c>
      <c r="O73">
        <v>60.16</v>
      </c>
      <c r="P73">
        <v>1</v>
      </c>
      <c r="Q73">
        <v>1.27</v>
      </c>
      <c r="V73">
        <v>18</v>
      </c>
      <c r="W73">
        <v>8552</v>
      </c>
      <c r="X73" s="15">
        <v>593</v>
      </c>
      <c r="Y73">
        <v>26.02</v>
      </c>
      <c r="Z73">
        <v>1</v>
      </c>
      <c r="AA73">
        <v>1.27</v>
      </c>
      <c r="AF73">
        <v>19</v>
      </c>
      <c r="AG73">
        <v>8675</v>
      </c>
      <c r="AH73" s="25">
        <v>682</v>
      </c>
      <c r="AI73">
        <v>2.77</v>
      </c>
      <c r="AJ73">
        <v>2</v>
      </c>
      <c r="AK73" s="15">
        <v>2.5099999999999998</v>
      </c>
    </row>
    <row r="74" spans="2:37">
      <c r="B74">
        <v>20</v>
      </c>
      <c r="C74">
        <v>8071</v>
      </c>
      <c r="D74" s="12">
        <v>433</v>
      </c>
      <c r="E74">
        <v>18.600000000000001</v>
      </c>
      <c r="F74">
        <v>2</v>
      </c>
      <c r="G74">
        <v>2.77</v>
      </c>
      <c r="L74" s="15">
        <v>19</v>
      </c>
      <c r="M74" s="15">
        <v>8408</v>
      </c>
      <c r="N74" s="12">
        <v>509</v>
      </c>
      <c r="O74" s="15">
        <v>21.1</v>
      </c>
      <c r="P74" s="15">
        <v>2</v>
      </c>
      <c r="Q74" s="15">
        <v>2.5099999999999998</v>
      </c>
      <c r="V74">
        <v>18</v>
      </c>
      <c r="W74">
        <v>8553</v>
      </c>
      <c r="X74" s="15">
        <v>594</v>
      </c>
      <c r="Y74">
        <v>26.02</v>
      </c>
      <c r="Z74">
        <v>1</v>
      </c>
      <c r="AA74">
        <v>1.27</v>
      </c>
      <c r="AF74">
        <v>19</v>
      </c>
      <c r="AG74">
        <v>8676</v>
      </c>
      <c r="AH74" s="25">
        <v>683</v>
      </c>
      <c r="AI74">
        <v>2.77</v>
      </c>
      <c r="AJ74">
        <v>2</v>
      </c>
      <c r="AK74" s="15">
        <v>2.5099999999999998</v>
      </c>
    </row>
    <row r="75" spans="2:37">
      <c r="B75">
        <v>20</v>
      </c>
      <c r="C75">
        <v>8072</v>
      </c>
      <c r="D75" s="12">
        <v>434</v>
      </c>
      <c r="E75">
        <v>18.600000000000001</v>
      </c>
      <c r="F75">
        <v>2</v>
      </c>
      <c r="G75">
        <v>2.77</v>
      </c>
      <c r="L75">
        <v>19</v>
      </c>
      <c r="M75">
        <v>8409</v>
      </c>
      <c r="N75" s="12">
        <v>510</v>
      </c>
      <c r="O75">
        <v>21.1</v>
      </c>
      <c r="P75">
        <v>2</v>
      </c>
      <c r="Q75">
        <v>2.5099999999999998</v>
      </c>
      <c r="V75">
        <v>18</v>
      </c>
      <c r="W75">
        <v>8554</v>
      </c>
      <c r="X75" s="15">
        <v>595</v>
      </c>
      <c r="Y75">
        <v>26.02</v>
      </c>
      <c r="Z75">
        <v>1</v>
      </c>
      <c r="AA75">
        <v>1.27</v>
      </c>
      <c r="AF75" s="23">
        <v>20</v>
      </c>
      <c r="AG75" s="23">
        <v>8677</v>
      </c>
      <c r="AH75" s="25">
        <v>684</v>
      </c>
      <c r="AI75" s="23">
        <v>5.18</v>
      </c>
      <c r="AJ75" s="23">
        <v>2</v>
      </c>
      <c r="AK75" s="23">
        <v>2.77</v>
      </c>
    </row>
    <row r="76" spans="2:37">
      <c r="B76">
        <v>20</v>
      </c>
      <c r="C76">
        <v>8073</v>
      </c>
      <c r="D76" s="12">
        <v>435</v>
      </c>
      <c r="E76">
        <v>18.600000000000001</v>
      </c>
      <c r="F76">
        <v>2</v>
      </c>
      <c r="G76">
        <v>2.77</v>
      </c>
      <c r="L76">
        <v>19</v>
      </c>
      <c r="M76">
        <v>8410</v>
      </c>
      <c r="N76" s="12">
        <v>511</v>
      </c>
      <c r="O76">
        <v>21.1</v>
      </c>
      <c r="P76">
        <v>2</v>
      </c>
      <c r="Q76">
        <v>2.5099999999999998</v>
      </c>
      <c r="V76">
        <v>18</v>
      </c>
      <c r="W76">
        <v>8555</v>
      </c>
      <c r="X76" s="15">
        <v>596</v>
      </c>
      <c r="Y76">
        <v>26.02</v>
      </c>
      <c r="Z76">
        <v>1</v>
      </c>
      <c r="AA76">
        <v>1.27</v>
      </c>
      <c r="AF76">
        <v>20</v>
      </c>
      <c r="AG76">
        <v>8678</v>
      </c>
      <c r="AH76" s="25">
        <v>685</v>
      </c>
      <c r="AI76">
        <v>5.18</v>
      </c>
      <c r="AJ76">
        <v>2</v>
      </c>
      <c r="AK76" s="23">
        <v>2.77</v>
      </c>
    </row>
    <row r="77" spans="2:37">
      <c r="B77">
        <v>20</v>
      </c>
      <c r="C77">
        <v>8074</v>
      </c>
      <c r="D77" s="12">
        <v>436</v>
      </c>
      <c r="E77">
        <v>18.600000000000001</v>
      </c>
      <c r="F77">
        <v>2</v>
      </c>
      <c r="G77">
        <v>2.77</v>
      </c>
      <c r="L77">
        <v>19</v>
      </c>
      <c r="M77">
        <v>8411</v>
      </c>
      <c r="N77" s="12">
        <v>512</v>
      </c>
      <c r="O77">
        <v>21.1</v>
      </c>
      <c r="P77">
        <v>2</v>
      </c>
      <c r="Q77">
        <v>2.5099999999999998</v>
      </c>
      <c r="V77" s="15">
        <v>19</v>
      </c>
      <c r="W77" s="15">
        <v>8556</v>
      </c>
      <c r="X77" s="15">
        <v>597</v>
      </c>
      <c r="Y77" s="15">
        <v>1.66</v>
      </c>
      <c r="Z77" s="15">
        <v>2</v>
      </c>
      <c r="AA77" s="15">
        <v>2.5099999999999998</v>
      </c>
      <c r="AF77">
        <v>20</v>
      </c>
      <c r="AG77">
        <v>8679</v>
      </c>
      <c r="AH77" s="25">
        <v>686</v>
      </c>
      <c r="AI77">
        <v>5.18</v>
      </c>
      <c r="AJ77">
        <v>2</v>
      </c>
      <c r="AK77" s="23">
        <v>2.77</v>
      </c>
    </row>
    <row r="78" spans="2:37">
      <c r="L78">
        <v>19</v>
      </c>
      <c r="M78">
        <v>8412</v>
      </c>
      <c r="N78" s="12">
        <v>513</v>
      </c>
      <c r="O78">
        <v>21.1</v>
      </c>
      <c r="P78">
        <v>2</v>
      </c>
      <c r="Q78">
        <v>2.5099999999999998</v>
      </c>
      <c r="V78">
        <v>19</v>
      </c>
      <c r="W78">
        <v>8557</v>
      </c>
      <c r="X78" s="15">
        <v>598</v>
      </c>
      <c r="Y78">
        <v>1.66</v>
      </c>
      <c r="Z78">
        <v>2</v>
      </c>
      <c r="AA78">
        <v>2.5099999999999998</v>
      </c>
      <c r="AF78">
        <v>20</v>
      </c>
      <c r="AG78">
        <v>8680</v>
      </c>
      <c r="AH78" s="25">
        <v>687</v>
      </c>
      <c r="AI78">
        <v>5.18</v>
      </c>
      <c r="AJ78">
        <v>2</v>
      </c>
      <c r="AK78" s="23">
        <v>2.77</v>
      </c>
    </row>
    <row r="79" spans="2:37">
      <c r="L79">
        <v>19</v>
      </c>
      <c r="M79">
        <v>8413</v>
      </c>
      <c r="N79" s="12">
        <v>514</v>
      </c>
      <c r="O79">
        <v>21.1</v>
      </c>
      <c r="P79">
        <v>2</v>
      </c>
      <c r="Q79">
        <v>2.5099999999999998</v>
      </c>
      <c r="V79">
        <v>19</v>
      </c>
      <c r="W79">
        <v>8558</v>
      </c>
      <c r="X79" s="15">
        <v>599</v>
      </c>
      <c r="Y79">
        <v>1.66</v>
      </c>
      <c r="Z79">
        <v>2</v>
      </c>
      <c r="AA79">
        <v>2.5099999999999998</v>
      </c>
      <c r="AF79">
        <v>20</v>
      </c>
      <c r="AG79">
        <v>8681</v>
      </c>
      <c r="AH79" s="25">
        <v>688</v>
      </c>
      <c r="AI79">
        <v>5.18</v>
      </c>
      <c r="AJ79">
        <v>2</v>
      </c>
      <c r="AK79" s="23">
        <v>2.77</v>
      </c>
    </row>
    <row r="80" spans="2:37">
      <c r="L80" s="12">
        <v>20</v>
      </c>
      <c r="M80" s="12">
        <v>8414</v>
      </c>
      <c r="N80" s="12">
        <v>515</v>
      </c>
      <c r="O80" s="12">
        <v>50.91</v>
      </c>
      <c r="P80" s="12">
        <v>2</v>
      </c>
      <c r="Q80" s="12">
        <v>2.77</v>
      </c>
      <c r="V80">
        <v>19</v>
      </c>
      <c r="W80">
        <v>8559</v>
      </c>
      <c r="X80" s="15">
        <v>600</v>
      </c>
      <c r="Y80">
        <v>1.66</v>
      </c>
      <c r="Z80">
        <v>2</v>
      </c>
      <c r="AA80">
        <v>2.5099999999999998</v>
      </c>
      <c r="AF80">
        <v>20</v>
      </c>
      <c r="AG80">
        <v>8682</v>
      </c>
      <c r="AH80" s="25">
        <v>689</v>
      </c>
      <c r="AI80">
        <v>5.18</v>
      </c>
      <c r="AJ80">
        <v>2</v>
      </c>
      <c r="AK80" s="23">
        <v>2.77</v>
      </c>
    </row>
    <row r="81" spans="12:27">
      <c r="L81">
        <v>20</v>
      </c>
      <c r="M81">
        <v>8415</v>
      </c>
      <c r="N81" s="12">
        <v>516</v>
      </c>
      <c r="O81">
        <v>50.91</v>
      </c>
      <c r="P81">
        <v>2</v>
      </c>
      <c r="Q81">
        <v>2.77</v>
      </c>
      <c r="V81">
        <v>19</v>
      </c>
      <c r="W81">
        <v>8560</v>
      </c>
      <c r="X81" s="15">
        <v>601</v>
      </c>
      <c r="Y81">
        <v>1.66</v>
      </c>
      <c r="Z81">
        <v>2</v>
      </c>
      <c r="AA81">
        <v>2.5099999999999998</v>
      </c>
    </row>
    <row r="82" spans="12:27">
      <c r="L82">
        <v>20</v>
      </c>
      <c r="M82">
        <v>8416</v>
      </c>
      <c r="N82" s="12">
        <v>517</v>
      </c>
      <c r="O82">
        <v>50.91</v>
      </c>
      <c r="P82">
        <v>2</v>
      </c>
      <c r="Q82">
        <v>2.77</v>
      </c>
      <c r="V82">
        <v>19</v>
      </c>
      <c r="W82">
        <v>8561</v>
      </c>
      <c r="X82" s="15">
        <v>602</v>
      </c>
      <c r="Y82">
        <v>1.66</v>
      </c>
      <c r="Z82">
        <v>2</v>
      </c>
      <c r="AA82">
        <v>2.5099999999999998</v>
      </c>
    </row>
    <row r="83" spans="12:27">
      <c r="L83">
        <v>20</v>
      </c>
      <c r="M83">
        <v>8417</v>
      </c>
      <c r="N83" s="12">
        <v>518</v>
      </c>
      <c r="O83">
        <v>50.91</v>
      </c>
      <c r="P83">
        <v>2</v>
      </c>
      <c r="Q83">
        <v>2.77</v>
      </c>
      <c r="V83" s="12">
        <v>20</v>
      </c>
      <c r="W83" s="12">
        <v>8562</v>
      </c>
      <c r="X83" s="15">
        <v>603</v>
      </c>
      <c r="Y83" s="12">
        <v>25.73</v>
      </c>
      <c r="Z83" s="12">
        <v>2</v>
      </c>
      <c r="AA83" s="12">
        <v>2.77</v>
      </c>
    </row>
    <row r="84" spans="12:27">
      <c r="L84">
        <v>20</v>
      </c>
      <c r="M84">
        <v>8418</v>
      </c>
      <c r="N84" s="12">
        <v>519</v>
      </c>
      <c r="O84">
        <v>50.91</v>
      </c>
      <c r="P84">
        <v>2</v>
      </c>
      <c r="Q84">
        <v>2.77</v>
      </c>
      <c r="V84">
        <v>20</v>
      </c>
      <c r="W84">
        <v>8563</v>
      </c>
      <c r="X84" s="15">
        <v>604</v>
      </c>
      <c r="Y84">
        <v>25.73</v>
      </c>
      <c r="Z84">
        <v>2</v>
      </c>
      <c r="AA84">
        <v>2.77</v>
      </c>
    </row>
    <row r="85" spans="12:27">
      <c r="L85">
        <v>20</v>
      </c>
      <c r="M85">
        <v>8419</v>
      </c>
      <c r="N85" s="12">
        <v>520</v>
      </c>
      <c r="O85">
        <v>50.91</v>
      </c>
      <c r="P85">
        <v>2</v>
      </c>
      <c r="Q85">
        <v>2.77</v>
      </c>
      <c r="V85">
        <v>20</v>
      </c>
      <c r="W85">
        <v>8564</v>
      </c>
      <c r="X85" s="15">
        <v>605</v>
      </c>
      <c r="Y85">
        <v>25.73</v>
      </c>
      <c r="Z85">
        <v>2</v>
      </c>
      <c r="AA85">
        <v>2.77</v>
      </c>
    </row>
    <row r="86" spans="12:27">
      <c r="L86">
        <v>20</v>
      </c>
      <c r="M86">
        <v>8420</v>
      </c>
      <c r="N86" s="12">
        <v>521</v>
      </c>
      <c r="O86">
        <v>50.91</v>
      </c>
      <c r="P86">
        <v>2</v>
      </c>
      <c r="Q86">
        <v>2.77</v>
      </c>
      <c r="V86">
        <v>20</v>
      </c>
      <c r="W86">
        <v>8565</v>
      </c>
      <c r="X86" s="15">
        <v>606</v>
      </c>
      <c r="Y86">
        <v>25.73</v>
      </c>
      <c r="Z86">
        <v>2</v>
      </c>
      <c r="AA86">
        <v>2.77</v>
      </c>
    </row>
    <row r="87" spans="12:27">
      <c r="V87">
        <v>20</v>
      </c>
      <c r="W87">
        <v>8566</v>
      </c>
      <c r="X87" s="15">
        <v>607</v>
      </c>
      <c r="Y87">
        <v>25.73</v>
      </c>
      <c r="Z87">
        <v>2</v>
      </c>
      <c r="AA87">
        <v>2.77</v>
      </c>
    </row>
    <row r="88" spans="12:27">
      <c r="V88">
        <v>20</v>
      </c>
      <c r="W88">
        <v>8567</v>
      </c>
      <c r="X88" s="15">
        <v>608</v>
      </c>
      <c r="Y88">
        <v>25.73</v>
      </c>
      <c r="Z88">
        <v>2</v>
      </c>
      <c r="AA88">
        <v>2.77</v>
      </c>
    </row>
    <row r="89" spans="12:27">
      <c r="V89">
        <v>20</v>
      </c>
      <c r="W89">
        <v>8568</v>
      </c>
      <c r="X89" s="15">
        <v>609</v>
      </c>
      <c r="Y89">
        <v>25.73</v>
      </c>
      <c r="Z89">
        <v>2</v>
      </c>
      <c r="AA89">
        <v>2.77</v>
      </c>
    </row>
    <row r="90" spans="12:27">
      <c r="V90">
        <v>20</v>
      </c>
      <c r="W90">
        <v>8569</v>
      </c>
      <c r="X90" s="15">
        <v>610</v>
      </c>
      <c r="Y90">
        <v>25.73</v>
      </c>
      <c r="Z90">
        <v>2</v>
      </c>
      <c r="AA90">
        <v>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Loria, Nancy</dc:creator>
  <cp:keywords/>
  <dc:description/>
  <cp:lastModifiedBy>Loria, Nancy</cp:lastModifiedBy>
  <cp:revision/>
  <dcterms:created xsi:type="dcterms:W3CDTF">2024-07-29T21:33:25Z</dcterms:created>
  <dcterms:modified xsi:type="dcterms:W3CDTF">2026-08-26T16:11:48Z</dcterms:modified>
  <cp:category/>
  <cp:contentStatus/>
</cp:coreProperties>
</file>